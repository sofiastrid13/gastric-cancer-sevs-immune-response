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DATOS sEVs y sHLA-G\Traducción a inglés\"/>
    </mc:Choice>
  </mc:AlternateContent>
  <bookViews>
    <workbookView xWindow="0" yWindow="0" windowWidth="28800" windowHeight="12210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S21" i="1" l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<sst xmlns="http://schemas.openxmlformats.org/spreadsheetml/2006/main" count="299" uniqueCount="91">
  <si>
    <t>Helicobacter_pylori</t>
  </si>
  <si>
    <t>TNM</t>
  </si>
  <si>
    <t>T</t>
  </si>
  <si>
    <t>N</t>
  </si>
  <si>
    <t>M</t>
  </si>
  <si>
    <t>Fraction_number</t>
  </si>
  <si>
    <t>103-1</t>
  </si>
  <si>
    <t>No_data</t>
  </si>
  <si>
    <t>No</t>
  </si>
  <si>
    <t>TxN0M0</t>
  </si>
  <si>
    <t>Tx</t>
  </si>
  <si>
    <t>N0</t>
  </si>
  <si>
    <t>M0</t>
  </si>
  <si>
    <t>111-1</t>
  </si>
  <si>
    <t>F</t>
  </si>
  <si>
    <t>Intestinal</t>
  </si>
  <si>
    <t>T2N0M0</t>
  </si>
  <si>
    <t>T2</t>
  </si>
  <si>
    <t>112-1</t>
  </si>
  <si>
    <t>T1N0M0</t>
  </si>
  <si>
    <t>T1</t>
  </si>
  <si>
    <t>177-1</t>
  </si>
  <si>
    <t>T1aNXMX</t>
  </si>
  <si>
    <t>Nx</t>
  </si>
  <si>
    <t>Mx</t>
  </si>
  <si>
    <t>179-1</t>
  </si>
  <si>
    <t>T1M0N0</t>
  </si>
  <si>
    <t>178-1</t>
  </si>
  <si>
    <t>T4aNxMo</t>
  </si>
  <si>
    <t>T4</t>
  </si>
  <si>
    <t>093-1</t>
  </si>
  <si>
    <t>T4N0M0</t>
  </si>
  <si>
    <t>050-1</t>
  </si>
  <si>
    <t>T3N1M0</t>
  </si>
  <si>
    <t>T3</t>
  </si>
  <si>
    <t>N1</t>
  </si>
  <si>
    <t>170-1</t>
  </si>
  <si>
    <t>T4N3M0</t>
  </si>
  <si>
    <t>N3</t>
  </si>
  <si>
    <t>182-1</t>
  </si>
  <si>
    <t>T3N0M0</t>
  </si>
  <si>
    <t>109-1</t>
  </si>
  <si>
    <t>T3N2M0</t>
  </si>
  <si>
    <t>N2</t>
  </si>
  <si>
    <t>107-1</t>
  </si>
  <si>
    <t>124-1</t>
  </si>
  <si>
    <t>No data</t>
  </si>
  <si>
    <t>099-1</t>
  </si>
  <si>
    <t>T3N3M0</t>
  </si>
  <si>
    <t>096-1</t>
  </si>
  <si>
    <t>T4N2Mx</t>
  </si>
  <si>
    <t>145-1</t>
  </si>
  <si>
    <t>TxNxM1</t>
  </si>
  <si>
    <t>M1</t>
  </si>
  <si>
    <t>176-1</t>
  </si>
  <si>
    <t>T4BN2M1</t>
  </si>
  <si>
    <t>115-1</t>
  </si>
  <si>
    <t>T4N1M1</t>
  </si>
  <si>
    <t>108-1</t>
  </si>
  <si>
    <t>100-1</t>
  </si>
  <si>
    <t>Patient_ID</t>
  </si>
  <si>
    <t>Sex</t>
  </si>
  <si>
    <t>Age</t>
  </si>
  <si>
    <t>Malignant_pathology_type</t>
  </si>
  <si>
    <t>Differentiation_grade</t>
  </si>
  <si>
    <t>Lymph_node_involvement</t>
  </si>
  <si>
    <t>Tumor_location</t>
  </si>
  <si>
    <t>Metastatic_involvement</t>
  </si>
  <si>
    <t>Stage</t>
  </si>
  <si>
    <t>sHLA-G_level (ng/mL)</t>
  </si>
  <si>
    <t>Vital_status</t>
  </si>
  <si>
    <t>Highest_concentration (µg/mL)</t>
  </si>
  <si>
    <t>Particles/mL</t>
  </si>
  <si>
    <t>Diffuse</t>
  </si>
  <si>
    <t>Gastroesophageal_junction</t>
  </si>
  <si>
    <t>Stage_I</t>
  </si>
  <si>
    <t>Deceased</t>
  </si>
  <si>
    <t>Moderately_differentiated</t>
  </si>
  <si>
    <t>Cardia_and_body</t>
  </si>
  <si>
    <t>Alive</t>
  </si>
  <si>
    <t>Mixed</t>
  </si>
  <si>
    <t>Body</t>
  </si>
  <si>
    <t>Poorly_differentiated</t>
  </si>
  <si>
    <t>Body_and_antrum</t>
  </si>
  <si>
    <t>Yes</t>
  </si>
  <si>
    <t>Antrum_and_pylorus</t>
  </si>
  <si>
    <t>Stage_II</t>
  </si>
  <si>
    <t>Stage_III</t>
  </si>
  <si>
    <t>Cardia</t>
  </si>
  <si>
    <t>Well_differentiated</t>
  </si>
  <si>
    <t>Stage_IV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</si>
</sst>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/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  <xf numFmtId="11" fontId="2" fillId="0" borderId="2" xfId="0" applyNumberFormat="1" applyFont="1" applyFill="1" applyBorder="1"/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11" fontId="2" fillId="0" borderId="0" xfId="0" applyNumberFormat="1" applyFont="1" applyFill="1" applyBorder="1"/>
    <xf numFmtId="0" fontId="2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Font="1" applyFill="1" applyBorder="1" applyAlignment="1"/>
    <xf numFmtId="164" fontId="2" fillId="0" borderId="3" xfId="0" applyNumberFormat="1" applyFont="1" applyFill="1" applyBorder="1" applyAlignment="1"/>
    <xf numFmtId="11" fontId="2" fillId="0" borderId="3" xfId="0" applyNumberFormat="1" applyFont="1" applyFill="1" applyBorder="1"/>
    <xf numFmtId="0" fontId="2" fillId="0" borderId="4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activeCell="R6" sqref="R6"/>
    </sheetView>
  </sheetViews>
  <sheetFormatPr baseColWidth="10" defaultRowHeight="15.75" x14ac:dyDescent="0.25"/>
  <cols>
    <col min="1" max="3" width="11.42578125" style="6"/>
    <col min="4" max="4" width="11.5703125" style="6" customWidth="1"/>
    <col min="5" max="5" width="13.28515625" style="6" customWidth="1"/>
    <col min="6" max="6" width="15.5703125" style="6" customWidth="1"/>
    <col min="7" max="7" width="13.5703125" style="6" customWidth="1"/>
    <col min="8" max="8" width="8.5703125" style="6" customWidth="1"/>
    <col min="9" max="9" width="12.5703125" style="6" customWidth="1"/>
    <col min="10" max="14" width="11.42578125" style="6"/>
    <col min="15" max="16" width="15" style="6" customWidth="1"/>
    <col min="17" max="17" width="18.28515625" style="6" customWidth="1"/>
    <col min="18" max="18" width="37.28515625" style="6" customWidth="1"/>
    <col min="19" max="19" width="12.7109375" style="6" customWidth="1"/>
    <col min="20" max="16384" width="11.42578125" style="6"/>
  </cols>
  <sheetData>
    <row r="1" spans="1:19" ht="47.25" x14ac:dyDescent="0.25">
      <c r="A1" s="1" t="s">
        <v>60</v>
      </c>
      <c r="B1" s="2" t="s">
        <v>61</v>
      </c>
      <c r="C1" s="1" t="s">
        <v>62</v>
      </c>
      <c r="D1" s="1" t="s">
        <v>63</v>
      </c>
      <c r="E1" s="1" t="s">
        <v>0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68</v>
      </c>
      <c r="O1" s="2" t="s">
        <v>69</v>
      </c>
      <c r="P1" s="3" t="s">
        <v>70</v>
      </c>
      <c r="Q1" s="4" t="s">
        <v>5</v>
      </c>
      <c r="R1" s="4" t="s">
        <v>71</v>
      </c>
      <c r="S1" s="5" t="s">
        <v>72</v>
      </c>
    </row>
    <row r="2" spans="1:19" ht="47.25" x14ac:dyDescent="0.25">
      <c r="A2" s="7" t="s">
        <v>6</v>
      </c>
      <c r="B2" s="8" t="s">
        <v>4</v>
      </c>
      <c r="C2" s="7">
        <v>55</v>
      </c>
      <c r="D2" s="7" t="s">
        <v>73</v>
      </c>
      <c r="E2" s="7" t="s">
        <v>7</v>
      </c>
      <c r="F2" s="7" t="s">
        <v>7</v>
      </c>
      <c r="G2" s="7" t="s">
        <v>8</v>
      </c>
      <c r="H2" s="7" t="s">
        <v>74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75</v>
      </c>
      <c r="O2" s="9">
        <v>2.165</v>
      </c>
      <c r="P2" s="10" t="s">
        <v>76</v>
      </c>
      <c r="Q2" s="11">
        <v>7</v>
      </c>
      <c r="R2" s="12">
        <v>13.212999999999999</v>
      </c>
      <c r="S2" s="13">
        <f>(R2 / 2) * 10000000000</f>
        <v>66064999999.999992</v>
      </c>
    </row>
    <row r="3" spans="1:19" ht="47.25" x14ac:dyDescent="0.25">
      <c r="A3" s="14" t="s">
        <v>13</v>
      </c>
      <c r="B3" s="15" t="s">
        <v>14</v>
      </c>
      <c r="C3" s="14">
        <v>55</v>
      </c>
      <c r="D3" s="14" t="s">
        <v>15</v>
      </c>
      <c r="E3" s="14" t="s">
        <v>7</v>
      </c>
      <c r="F3" s="14" t="s">
        <v>77</v>
      </c>
      <c r="G3" s="14" t="s">
        <v>8</v>
      </c>
      <c r="H3" s="14" t="s">
        <v>78</v>
      </c>
      <c r="I3" s="14" t="s">
        <v>8</v>
      </c>
      <c r="J3" s="14" t="s">
        <v>16</v>
      </c>
      <c r="K3" s="14" t="s">
        <v>17</v>
      </c>
      <c r="L3" s="14" t="s">
        <v>11</v>
      </c>
      <c r="M3" s="14" t="s">
        <v>12</v>
      </c>
      <c r="N3" s="14" t="s">
        <v>75</v>
      </c>
      <c r="O3" s="16">
        <v>3.1150000000000002</v>
      </c>
      <c r="P3" s="14" t="s">
        <v>79</v>
      </c>
      <c r="Q3" s="17">
        <v>7</v>
      </c>
      <c r="R3" s="18">
        <v>26.436</v>
      </c>
      <c r="S3" s="19">
        <f t="shared" ref="S3:S21" si="0">(R3 / 2) * 10000000000</f>
        <v>132180000000</v>
      </c>
    </row>
    <row r="4" spans="1:19" ht="47.25" x14ac:dyDescent="0.25">
      <c r="A4" s="14" t="s">
        <v>18</v>
      </c>
      <c r="B4" s="15" t="s">
        <v>14</v>
      </c>
      <c r="C4" s="14">
        <v>69</v>
      </c>
      <c r="D4" s="14" t="s">
        <v>80</v>
      </c>
      <c r="E4" s="14" t="s">
        <v>8</v>
      </c>
      <c r="F4" s="14" t="s">
        <v>77</v>
      </c>
      <c r="G4" s="14" t="s">
        <v>8</v>
      </c>
      <c r="H4" s="14" t="s">
        <v>81</v>
      </c>
      <c r="I4" s="14" t="s">
        <v>8</v>
      </c>
      <c r="J4" s="14" t="s">
        <v>19</v>
      </c>
      <c r="K4" s="14" t="s">
        <v>20</v>
      </c>
      <c r="L4" s="14" t="s">
        <v>11</v>
      </c>
      <c r="M4" s="14" t="s">
        <v>12</v>
      </c>
      <c r="N4" s="14" t="s">
        <v>75</v>
      </c>
      <c r="O4" s="16">
        <v>9.3930000000000007</v>
      </c>
      <c r="P4" s="14" t="s">
        <v>79</v>
      </c>
      <c r="Q4" s="17">
        <v>7</v>
      </c>
      <c r="R4" s="18">
        <v>3.7709999999999999</v>
      </c>
      <c r="S4" s="19">
        <f t="shared" si="0"/>
        <v>18855000000</v>
      </c>
    </row>
    <row r="5" spans="1:19" ht="31.5" x14ac:dyDescent="0.25">
      <c r="A5" s="14" t="s">
        <v>21</v>
      </c>
      <c r="B5" s="15" t="s">
        <v>4</v>
      </c>
      <c r="C5" s="14">
        <v>65</v>
      </c>
      <c r="D5" s="14" t="s">
        <v>15</v>
      </c>
      <c r="E5" s="14" t="s">
        <v>8</v>
      </c>
      <c r="F5" s="20" t="s">
        <v>82</v>
      </c>
      <c r="G5" s="14" t="s">
        <v>8</v>
      </c>
      <c r="H5" s="14" t="s">
        <v>83</v>
      </c>
      <c r="I5" s="14" t="s">
        <v>8</v>
      </c>
      <c r="J5" s="14" t="s">
        <v>22</v>
      </c>
      <c r="K5" s="14" t="s">
        <v>20</v>
      </c>
      <c r="L5" s="14" t="s">
        <v>23</v>
      </c>
      <c r="M5" s="14" t="s">
        <v>24</v>
      </c>
      <c r="N5" s="14" t="s">
        <v>75</v>
      </c>
      <c r="O5" s="15">
        <v>31.59</v>
      </c>
      <c r="P5" s="14" t="s">
        <v>79</v>
      </c>
      <c r="Q5" s="17">
        <v>6</v>
      </c>
      <c r="R5" s="18">
        <v>3.375</v>
      </c>
      <c r="S5" s="19">
        <f t="shared" si="0"/>
        <v>16875000000</v>
      </c>
    </row>
    <row r="6" spans="1:19" ht="47.25" x14ac:dyDescent="0.25">
      <c r="A6" s="21" t="s">
        <v>25</v>
      </c>
      <c r="B6" s="22" t="s">
        <v>4</v>
      </c>
      <c r="C6" s="21">
        <v>60</v>
      </c>
      <c r="D6" s="21" t="s">
        <v>15</v>
      </c>
      <c r="E6" s="21" t="s">
        <v>7</v>
      </c>
      <c r="F6" s="21" t="s">
        <v>77</v>
      </c>
      <c r="G6" s="21" t="s">
        <v>84</v>
      </c>
      <c r="H6" s="21" t="s">
        <v>83</v>
      </c>
      <c r="I6" s="21" t="s">
        <v>84</v>
      </c>
      <c r="J6" s="21" t="s">
        <v>26</v>
      </c>
      <c r="K6" s="21" t="s">
        <v>20</v>
      </c>
      <c r="L6" s="21" t="s">
        <v>12</v>
      </c>
      <c r="M6" s="21" t="s">
        <v>11</v>
      </c>
      <c r="N6" s="21" t="s">
        <v>75</v>
      </c>
      <c r="O6" s="22">
        <v>9.2010000000000005</v>
      </c>
      <c r="P6" s="21" t="s">
        <v>79</v>
      </c>
      <c r="Q6" s="23">
        <v>6</v>
      </c>
      <c r="R6" s="24">
        <v>17.658999999999999</v>
      </c>
      <c r="S6" s="25">
        <f t="shared" si="0"/>
        <v>88295000000</v>
      </c>
    </row>
    <row r="7" spans="1:19" ht="31.5" x14ac:dyDescent="0.25">
      <c r="A7" s="7" t="s">
        <v>27</v>
      </c>
      <c r="B7" s="8" t="s">
        <v>4</v>
      </c>
      <c r="C7" s="7">
        <v>61</v>
      </c>
      <c r="D7" s="7" t="s">
        <v>73</v>
      </c>
      <c r="E7" s="7" t="s">
        <v>7</v>
      </c>
      <c r="F7" s="7" t="s">
        <v>82</v>
      </c>
      <c r="G7" s="7" t="s">
        <v>8</v>
      </c>
      <c r="H7" s="7" t="s">
        <v>85</v>
      </c>
      <c r="I7" s="7" t="s">
        <v>8</v>
      </c>
      <c r="J7" s="7" t="s">
        <v>28</v>
      </c>
      <c r="K7" s="7" t="s">
        <v>29</v>
      </c>
      <c r="L7" s="7" t="s">
        <v>23</v>
      </c>
      <c r="M7" s="7" t="s">
        <v>12</v>
      </c>
      <c r="N7" s="7" t="s">
        <v>86</v>
      </c>
      <c r="O7" s="8">
        <v>7.85</v>
      </c>
      <c r="P7" s="7" t="s">
        <v>79</v>
      </c>
      <c r="Q7" s="11">
        <v>6</v>
      </c>
      <c r="R7" s="12">
        <v>14.435</v>
      </c>
      <c r="S7" s="13">
        <f t="shared" si="0"/>
        <v>72175000000</v>
      </c>
    </row>
    <row r="8" spans="1:19" ht="47.25" x14ac:dyDescent="0.25">
      <c r="A8" s="14" t="s">
        <v>30</v>
      </c>
      <c r="B8" s="15" t="s">
        <v>14</v>
      </c>
      <c r="C8" s="14">
        <v>90</v>
      </c>
      <c r="D8" s="14" t="s">
        <v>15</v>
      </c>
      <c r="E8" s="14" t="s">
        <v>7</v>
      </c>
      <c r="F8" s="14" t="s">
        <v>77</v>
      </c>
      <c r="G8" s="14" t="s">
        <v>8</v>
      </c>
      <c r="H8" s="14" t="s">
        <v>81</v>
      </c>
      <c r="I8" s="14" t="s">
        <v>8</v>
      </c>
      <c r="J8" s="14" t="s">
        <v>31</v>
      </c>
      <c r="K8" s="14" t="s">
        <v>29</v>
      </c>
      <c r="L8" s="14" t="s">
        <v>11</v>
      </c>
      <c r="M8" s="14" t="s">
        <v>12</v>
      </c>
      <c r="N8" s="20" t="s">
        <v>86</v>
      </c>
      <c r="O8" s="16">
        <v>4.9989999999999997</v>
      </c>
      <c r="P8" s="14" t="s">
        <v>79</v>
      </c>
      <c r="Q8" s="17">
        <v>6</v>
      </c>
      <c r="R8" s="18">
        <v>16.334</v>
      </c>
      <c r="S8" s="19">
        <f t="shared" si="0"/>
        <v>81670000000</v>
      </c>
    </row>
    <row r="9" spans="1:19" ht="31.5" x14ac:dyDescent="0.25">
      <c r="A9" s="14" t="s">
        <v>32</v>
      </c>
      <c r="B9" s="15" t="s">
        <v>4</v>
      </c>
      <c r="C9" s="14">
        <v>76</v>
      </c>
      <c r="D9" s="14" t="s">
        <v>15</v>
      </c>
      <c r="E9" s="14" t="s">
        <v>7</v>
      </c>
      <c r="F9" s="14" t="s">
        <v>82</v>
      </c>
      <c r="G9" s="14" t="s">
        <v>84</v>
      </c>
      <c r="H9" s="14" t="s">
        <v>81</v>
      </c>
      <c r="I9" s="14" t="s">
        <v>8</v>
      </c>
      <c r="J9" s="14" t="s">
        <v>33</v>
      </c>
      <c r="K9" s="14" t="s">
        <v>34</v>
      </c>
      <c r="L9" s="14" t="s">
        <v>35</v>
      </c>
      <c r="M9" s="14" t="s">
        <v>12</v>
      </c>
      <c r="N9" s="20" t="s">
        <v>86</v>
      </c>
      <c r="O9" s="16">
        <v>4.4080000000000004</v>
      </c>
      <c r="P9" s="14" t="s">
        <v>79</v>
      </c>
      <c r="Q9" s="17">
        <v>7</v>
      </c>
      <c r="R9" s="18">
        <v>32.302</v>
      </c>
      <c r="S9" s="19">
        <f t="shared" si="0"/>
        <v>161510000000</v>
      </c>
    </row>
    <row r="10" spans="1:19" ht="31.5" x14ac:dyDescent="0.25">
      <c r="A10" s="14" t="s">
        <v>36</v>
      </c>
      <c r="B10" s="15" t="s">
        <v>4</v>
      </c>
      <c r="C10" s="14">
        <v>69</v>
      </c>
      <c r="D10" s="14" t="s">
        <v>15</v>
      </c>
      <c r="E10" s="14" t="s">
        <v>84</v>
      </c>
      <c r="F10" s="14" t="s">
        <v>82</v>
      </c>
      <c r="G10" s="14" t="s">
        <v>84</v>
      </c>
      <c r="H10" s="14" t="s">
        <v>7</v>
      </c>
      <c r="I10" s="14" t="s">
        <v>8</v>
      </c>
      <c r="J10" s="14" t="s">
        <v>37</v>
      </c>
      <c r="K10" s="14" t="s">
        <v>29</v>
      </c>
      <c r="L10" s="14" t="s">
        <v>38</v>
      </c>
      <c r="M10" s="14" t="s">
        <v>12</v>
      </c>
      <c r="N10" s="20" t="s">
        <v>86</v>
      </c>
      <c r="O10" s="16">
        <v>24.04</v>
      </c>
      <c r="P10" s="14" t="s">
        <v>79</v>
      </c>
      <c r="Q10" s="17">
        <v>7</v>
      </c>
      <c r="R10" s="18">
        <v>40.014000000000003</v>
      </c>
      <c r="S10" s="19">
        <f t="shared" si="0"/>
        <v>200070000000</v>
      </c>
    </row>
    <row r="11" spans="1:19" ht="47.25" x14ac:dyDescent="0.25">
      <c r="A11" s="21" t="s">
        <v>39</v>
      </c>
      <c r="B11" s="22" t="s">
        <v>4</v>
      </c>
      <c r="C11" s="21">
        <v>67</v>
      </c>
      <c r="D11" s="21" t="s">
        <v>80</v>
      </c>
      <c r="E11" s="21" t="s">
        <v>7</v>
      </c>
      <c r="F11" s="21" t="s">
        <v>77</v>
      </c>
      <c r="G11" s="21" t="s">
        <v>8</v>
      </c>
      <c r="H11" s="21" t="s">
        <v>7</v>
      </c>
      <c r="I11" s="21" t="s">
        <v>8</v>
      </c>
      <c r="J11" s="21" t="s">
        <v>40</v>
      </c>
      <c r="K11" s="21" t="s">
        <v>34</v>
      </c>
      <c r="L11" s="21" t="s">
        <v>11</v>
      </c>
      <c r="M11" s="21" t="s">
        <v>12</v>
      </c>
      <c r="N11" s="26" t="s">
        <v>86</v>
      </c>
      <c r="O11" s="22">
        <v>20.37</v>
      </c>
      <c r="P11" s="21" t="s">
        <v>79</v>
      </c>
      <c r="Q11" s="23">
        <v>7</v>
      </c>
      <c r="R11" s="24">
        <v>4.5410000000000004</v>
      </c>
      <c r="S11" s="25">
        <f t="shared" si="0"/>
        <v>22705000000</v>
      </c>
    </row>
    <row r="12" spans="1:19" ht="47.25" x14ac:dyDescent="0.25">
      <c r="A12" s="7" t="s">
        <v>41</v>
      </c>
      <c r="B12" s="8" t="s">
        <v>4</v>
      </c>
      <c r="C12" s="7">
        <v>58</v>
      </c>
      <c r="D12" s="7" t="s">
        <v>15</v>
      </c>
      <c r="E12" s="7" t="s">
        <v>7</v>
      </c>
      <c r="F12" s="7" t="s">
        <v>77</v>
      </c>
      <c r="G12" s="7" t="s">
        <v>84</v>
      </c>
      <c r="H12" s="7" t="s">
        <v>74</v>
      </c>
      <c r="I12" s="7" t="s">
        <v>8</v>
      </c>
      <c r="J12" s="7" t="s">
        <v>42</v>
      </c>
      <c r="K12" s="7" t="s">
        <v>34</v>
      </c>
      <c r="L12" s="7" t="s">
        <v>43</v>
      </c>
      <c r="M12" s="7" t="s">
        <v>12</v>
      </c>
      <c r="N12" s="7" t="s">
        <v>87</v>
      </c>
      <c r="O12" s="9">
        <v>6.3639999999999999</v>
      </c>
      <c r="P12" s="7" t="s">
        <v>79</v>
      </c>
      <c r="Q12" s="11">
        <v>6</v>
      </c>
      <c r="R12" s="12">
        <v>23.53</v>
      </c>
      <c r="S12" s="13">
        <f t="shared" si="0"/>
        <v>117650000000</v>
      </c>
    </row>
    <row r="13" spans="1:19" ht="31.5" x14ac:dyDescent="0.25">
      <c r="A13" s="14" t="s">
        <v>44</v>
      </c>
      <c r="B13" s="15" t="s">
        <v>4</v>
      </c>
      <c r="C13" s="14">
        <v>60</v>
      </c>
      <c r="D13" s="14" t="s">
        <v>73</v>
      </c>
      <c r="E13" s="14" t="s">
        <v>7</v>
      </c>
      <c r="F13" s="14" t="s">
        <v>82</v>
      </c>
      <c r="G13" s="14" t="s">
        <v>84</v>
      </c>
      <c r="H13" s="14" t="s">
        <v>88</v>
      </c>
      <c r="I13" s="14" t="s">
        <v>8</v>
      </c>
      <c r="J13" s="14" t="s">
        <v>37</v>
      </c>
      <c r="K13" s="14" t="s">
        <v>29</v>
      </c>
      <c r="L13" s="14" t="s">
        <v>38</v>
      </c>
      <c r="M13" s="14" t="s">
        <v>12</v>
      </c>
      <c r="N13" s="14" t="s">
        <v>87</v>
      </c>
      <c r="O13" s="16">
        <v>4.76</v>
      </c>
      <c r="P13" s="14" t="s">
        <v>76</v>
      </c>
      <c r="Q13" s="17">
        <v>7</v>
      </c>
      <c r="R13" s="18">
        <v>12.204000000000001</v>
      </c>
      <c r="S13" s="19">
        <f t="shared" si="0"/>
        <v>61020000000</v>
      </c>
    </row>
    <row r="14" spans="1:19" ht="31.5" x14ac:dyDescent="0.25">
      <c r="A14" s="14" t="s">
        <v>45</v>
      </c>
      <c r="B14" s="15" t="s">
        <v>4</v>
      </c>
      <c r="C14" s="14">
        <v>53</v>
      </c>
      <c r="D14" s="14" t="s">
        <v>15</v>
      </c>
      <c r="E14" s="14" t="s">
        <v>7</v>
      </c>
      <c r="F14" s="14" t="s">
        <v>82</v>
      </c>
      <c r="G14" s="14" t="s">
        <v>7</v>
      </c>
      <c r="H14" s="14" t="s">
        <v>83</v>
      </c>
      <c r="I14" s="14" t="s">
        <v>8</v>
      </c>
      <c r="J14" s="14" t="s">
        <v>46</v>
      </c>
      <c r="K14" s="14" t="s">
        <v>10</v>
      </c>
      <c r="L14" s="14" t="s">
        <v>23</v>
      </c>
      <c r="M14" s="14" t="s">
        <v>24</v>
      </c>
      <c r="N14" s="14" t="s">
        <v>87</v>
      </c>
      <c r="O14" s="16">
        <v>5.9589999999999996</v>
      </c>
      <c r="P14" s="14" t="s">
        <v>76</v>
      </c>
      <c r="Q14" s="17">
        <v>5</v>
      </c>
      <c r="R14" s="18">
        <v>26.074999999999999</v>
      </c>
      <c r="S14" s="19">
        <f t="shared" si="0"/>
        <v>130375000000</v>
      </c>
    </row>
    <row r="15" spans="1:19" ht="31.5" x14ac:dyDescent="0.25">
      <c r="A15" s="14" t="s">
        <v>47</v>
      </c>
      <c r="B15" s="15" t="s">
        <v>4</v>
      </c>
      <c r="C15" s="14">
        <v>65</v>
      </c>
      <c r="D15" s="14" t="s">
        <v>15</v>
      </c>
      <c r="E15" s="14" t="s">
        <v>84</v>
      </c>
      <c r="F15" s="14" t="s">
        <v>89</v>
      </c>
      <c r="G15" s="14" t="s">
        <v>84</v>
      </c>
      <c r="H15" s="14" t="s">
        <v>85</v>
      </c>
      <c r="I15" s="14" t="s">
        <v>8</v>
      </c>
      <c r="J15" s="14" t="s">
        <v>48</v>
      </c>
      <c r="K15" s="14" t="s">
        <v>34</v>
      </c>
      <c r="L15" s="14" t="s">
        <v>38</v>
      </c>
      <c r="M15" s="14" t="s">
        <v>12</v>
      </c>
      <c r="N15" s="14" t="s">
        <v>87</v>
      </c>
      <c r="O15" s="16">
        <v>5.8860000000000001</v>
      </c>
      <c r="P15" s="14" t="s">
        <v>76</v>
      </c>
      <c r="Q15" s="17">
        <v>6</v>
      </c>
      <c r="R15" s="18">
        <v>5.0789999999999997</v>
      </c>
      <c r="S15" s="19">
        <f t="shared" si="0"/>
        <v>25395000000</v>
      </c>
    </row>
    <row r="16" spans="1:19" ht="47.25" x14ac:dyDescent="0.25">
      <c r="A16" s="21" t="s">
        <v>49</v>
      </c>
      <c r="B16" s="22" t="s">
        <v>4</v>
      </c>
      <c r="C16" s="21">
        <v>78</v>
      </c>
      <c r="D16" s="21" t="s">
        <v>15</v>
      </c>
      <c r="E16" s="21" t="s">
        <v>8</v>
      </c>
      <c r="F16" s="21" t="s">
        <v>77</v>
      </c>
      <c r="G16" s="21" t="s">
        <v>84</v>
      </c>
      <c r="H16" s="21" t="s">
        <v>83</v>
      </c>
      <c r="I16" s="21" t="s">
        <v>8</v>
      </c>
      <c r="J16" s="21" t="s">
        <v>50</v>
      </c>
      <c r="K16" s="21" t="s">
        <v>29</v>
      </c>
      <c r="L16" s="21" t="s">
        <v>43</v>
      </c>
      <c r="M16" s="21" t="s">
        <v>24</v>
      </c>
      <c r="N16" s="21" t="s">
        <v>87</v>
      </c>
      <c r="O16" s="27">
        <v>1.65</v>
      </c>
      <c r="P16" s="21" t="s">
        <v>76</v>
      </c>
      <c r="Q16" s="23">
        <v>6</v>
      </c>
      <c r="R16" s="24">
        <v>22.533000000000001</v>
      </c>
      <c r="S16" s="25">
        <f t="shared" si="0"/>
        <v>112665000000</v>
      </c>
    </row>
    <row r="17" spans="1:19" ht="47.25" x14ac:dyDescent="0.25">
      <c r="A17" s="7" t="s">
        <v>51</v>
      </c>
      <c r="B17" s="8" t="s">
        <v>14</v>
      </c>
      <c r="C17" s="7">
        <v>44</v>
      </c>
      <c r="D17" s="7" t="s">
        <v>15</v>
      </c>
      <c r="E17" s="7" t="s">
        <v>7</v>
      </c>
      <c r="F17" s="7" t="s">
        <v>77</v>
      </c>
      <c r="G17" s="7" t="s">
        <v>7</v>
      </c>
      <c r="H17" s="7" t="s">
        <v>83</v>
      </c>
      <c r="I17" s="7" t="s">
        <v>84</v>
      </c>
      <c r="J17" s="7" t="s">
        <v>52</v>
      </c>
      <c r="K17" s="7" t="s">
        <v>10</v>
      </c>
      <c r="L17" s="7" t="s">
        <v>23</v>
      </c>
      <c r="M17" s="7" t="s">
        <v>53</v>
      </c>
      <c r="N17" s="7" t="s">
        <v>90</v>
      </c>
      <c r="O17" s="9">
        <v>9.48</v>
      </c>
      <c r="P17" s="7" t="s">
        <v>79</v>
      </c>
      <c r="Q17" s="11">
        <v>7</v>
      </c>
      <c r="R17" s="12">
        <v>33.637</v>
      </c>
      <c r="S17" s="13">
        <f t="shared" si="0"/>
        <v>168185000000</v>
      </c>
    </row>
    <row r="18" spans="1:19" ht="31.5" x14ac:dyDescent="0.25">
      <c r="A18" s="14" t="s">
        <v>54</v>
      </c>
      <c r="B18" s="15" t="s">
        <v>4</v>
      </c>
      <c r="C18" s="14">
        <v>36</v>
      </c>
      <c r="D18" s="14" t="s">
        <v>73</v>
      </c>
      <c r="E18" s="14" t="s">
        <v>7</v>
      </c>
      <c r="F18" s="14" t="s">
        <v>7</v>
      </c>
      <c r="G18" s="14" t="s">
        <v>84</v>
      </c>
      <c r="H18" s="14" t="s">
        <v>83</v>
      </c>
      <c r="I18" s="14" t="s">
        <v>84</v>
      </c>
      <c r="J18" s="14" t="s">
        <v>55</v>
      </c>
      <c r="K18" s="14" t="s">
        <v>29</v>
      </c>
      <c r="L18" s="14" t="s">
        <v>43</v>
      </c>
      <c r="M18" s="14" t="s">
        <v>53</v>
      </c>
      <c r="N18" s="14" t="s">
        <v>90</v>
      </c>
      <c r="O18" s="15">
        <v>25.69</v>
      </c>
      <c r="P18" s="14" t="s">
        <v>79</v>
      </c>
      <c r="Q18" s="17">
        <v>7</v>
      </c>
      <c r="R18" s="18">
        <v>42.47</v>
      </c>
      <c r="S18" s="19">
        <f t="shared" si="0"/>
        <v>212350000000</v>
      </c>
    </row>
    <row r="19" spans="1:19" ht="31.5" x14ac:dyDescent="0.25">
      <c r="A19" s="14" t="s">
        <v>56</v>
      </c>
      <c r="B19" s="15" t="s">
        <v>4</v>
      </c>
      <c r="C19" s="14">
        <v>49</v>
      </c>
      <c r="D19" s="14" t="s">
        <v>15</v>
      </c>
      <c r="E19" s="14" t="s">
        <v>7</v>
      </c>
      <c r="F19" s="14" t="s">
        <v>82</v>
      </c>
      <c r="G19" s="14" t="s">
        <v>84</v>
      </c>
      <c r="H19" s="14" t="s">
        <v>88</v>
      </c>
      <c r="I19" s="14" t="s">
        <v>84</v>
      </c>
      <c r="J19" s="14" t="s">
        <v>57</v>
      </c>
      <c r="K19" s="14" t="s">
        <v>29</v>
      </c>
      <c r="L19" s="14" t="s">
        <v>35</v>
      </c>
      <c r="M19" s="14" t="s">
        <v>53</v>
      </c>
      <c r="N19" s="14" t="s">
        <v>90</v>
      </c>
      <c r="O19" s="16">
        <v>2.7869999999999999</v>
      </c>
      <c r="P19" s="14" t="s">
        <v>76</v>
      </c>
      <c r="Q19" s="17">
        <v>6</v>
      </c>
      <c r="R19" s="18">
        <v>17.146999999999998</v>
      </c>
      <c r="S19" s="19">
        <f t="shared" si="0"/>
        <v>85734999999.999985</v>
      </c>
    </row>
    <row r="20" spans="1:19" ht="47.25" x14ac:dyDescent="0.25">
      <c r="A20" s="14" t="s">
        <v>58</v>
      </c>
      <c r="B20" s="15" t="s">
        <v>4</v>
      </c>
      <c r="C20" s="14">
        <v>65</v>
      </c>
      <c r="D20" s="14" t="s">
        <v>15</v>
      </c>
      <c r="E20" s="14" t="s">
        <v>8</v>
      </c>
      <c r="F20" s="14" t="s">
        <v>77</v>
      </c>
      <c r="G20" s="14" t="s">
        <v>84</v>
      </c>
      <c r="H20" s="14" t="s">
        <v>74</v>
      </c>
      <c r="I20" s="14" t="s">
        <v>84</v>
      </c>
      <c r="J20" s="14" t="s">
        <v>52</v>
      </c>
      <c r="K20" s="14" t="s">
        <v>10</v>
      </c>
      <c r="L20" s="14" t="s">
        <v>23</v>
      </c>
      <c r="M20" s="14" t="s">
        <v>53</v>
      </c>
      <c r="N20" s="14" t="s">
        <v>90</v>
      </c>
      <c r="O20" s="16">
        <v>2.1709999999999998</v>
      </c>
      <c r="P20" s="28" t="s">
        <v>76</v>
      </c>
      <c r="Q20" s="17">
        <v>6</v>
      </c>
      <c r="R20" s="18">
        <v>18.899000000000001</v>
      </c>
      <c r="S20" s="19">
        <f t="shared" si="0"/>
        <v>94495000000</v>
      </c>
    </row>
    <row r="21" spans="1:19" ht="31.5" x14ac:dyDescent="0.25">
      <c r="A21" s="21" t="s">
        <v>59</v>
      </c>
      <c r="B21" s="22" t="s">
        <v>4</v>
      </c>
      <c r="C21" s="21">
        <v>63</v>
      </c>
      <c r="D21" s="21" t="s">
        <v>80</v>
      </c>
      <c r="E21" s="21" t="s">
        <v>7</v>
      </c>
      <c r="F21" s="21" t="s">
        <v>82</v>
      </c>
      <c r="G21" s="21" t="s">
        <v>7</v>
      </c>
      <c r="H21" s="21" t="s">
        <v>88</v>
      </c>
      <c r="I21" s="21" t="s">
        <v>84</v>
      </c>
      <c r="J21" s="21" t="s">
        <v>52</v>
      </c>
      <c r="K21" s="21" t="s">
        <v>10</v>
      </c>
      <c r="L21" s="21" t="s">
        <v>23</v>
      </c>
      <c r="M21" s="21" t="s">
        <v>53</v>
      </c>
      <c r="N21" s="26" t="s">
        <v>90</v>
      </c>
      <c r="O21" s="27">
        <v>5.4180000000000001</v>
      </c>
      <c r="P21" s="21" t="s">
        <v>76</v>
      </c>
      <c r="Q21" s="23">
        <v>7</v>
      </c>
      <c r="R21" s="24">
        <v>3.3279999999999998</v>
      </c>
      <c r="S21" s="25">
        <f t="shared" si="0"/>
        <v>16640000000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Sofia-Gamer</cp:lastModifiedBy>
  <dcterms:modified xsi:type="dcterms:W3CDTF">2026-10-19T22:19:07Z</dcterms:modified>
</cp:coreProperties>
</file>
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i\Documentos\TESIS MAESTRÍA\DATOS sEVs y sHLA-G\Traducción a inglés\"/>
    </mc:Choice>
  </mc:AlternateContent>
  <bookViews>
    <workbookView xWindow="0" yWindow="0" windowWidth="28800" windowHeight="12210"/>
  </bookViews>
  <sheets>
    <sheet name="Hoja1" sheetId="1" r:id="rId1"/>
  </sheets>
  <calcPr calcId="162913"/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<sst xmlns="http://schemas.openxmlformats.org/spreadsheetml/2006/main" count="89" uniqueCount="36">
  <si>
    <t>Fraction_number</t>
  </si>
  <si>
    <t>200-2</t>
  </si>
  <si>
    <t>M</t>
  </si>
  <si>
    <t>98-2</t>
  </si>
  <si>
    <t>3 - 2</t>
  </si>
  <si>
    <t>95-2</t>
  </si>
  <si>
    <t>F</t>
  </si>
  <si>
    <t>4 - 2</t>
  </si>
  <si>
    <t>No data</t>
  </si>
  <si>
    <t>282-2</t>
  </si>
  <si>
    <t>64-2</t>
  </si>
  <si>
    <t>301-2</t>
  </si>
  <si>
    <t>174-2</t>
  </si>
  <si>
    <t>188-2</t>
  </si>
  <si>
    <t>57-2</t>
  </si>
  <si>
    <t>244-2</t>
  </si>
  <si>
    <t>229-2</t>
  </si>
  <si>
    <t>243-2</t>
  </si>
  <si>
    <t>253-2</t>
  </si>
  <si>
    <t>228-2</t>
  </si>
  <si>
    <t>270-2</t>
  </si>
  <si>
    <t>139-2</t>
  </si>
  <si>
    <t>211-2</t>
  </si>
  <si>
    <t>310-2</t>
  </si>
  <si>
    <t>Patient_ID</t>
  </si>
  <si>
    <t>Sex</t>
  </si>
  <si>
    <t>Age</t>
  </si>
  <si>
    <t>Benign_pathology_type</t>
  </si>
  <si>
    <t>Helicobacter_pylori</t>
  </si>
  <si>
    <t>sHLA-G_level</t>
  </si>
  <si>
    <t>Highest_concentration (µg/mL)</t>
  </si>
  <si>
    <t>Particles/mL</t>
  </si>
  <si>
    <t>Chronic_gastritis</t>
  </si>
  <si>
    <t>Absent</t>
  </si>
  <si>
    <t>Chronic_gastritis_(metaplasia)</t>
  </si>
  <si>
    <t>Peptic_ulcer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</si>
</sst>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164" fontId="2" fillId="0" borderId="0" xfId="0" applyNumberFormat="1" applyFont="1" applyFill="1" applyBorder="1" applyAlignment="1"/>
    <xf numFmtId="11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L13" sqref="L13"/>
    </sheetView>
  </sheetViews>
  <sheetFormatPr baseColWidth="10" defaultRowHeight="15.75" x14ac:dyDescent="0.25"/>
  <cols>
    <col min="1" max="1" width="16.5703125" style="3" customWidth="1"/>
    <col min="2" max="3" width="11.42578125" style="3"/>
    <col min="4" max="4" width="27.140625" style="3" customWidth="1"/>
    <col min="5" max="5" width="19.42578125" style="3" customWidth="1"/>
    <col min="6" max="6" width="14.140625" style="3" customWidth="1"/>
    <col min="7" max="7" width="18" style="3" customWidth="1"/>
    <col min="8" max="8" width="36" style="3" customWidth="1"/>
    <col min="9" max="9" width="12.7109375" style="3" customWidth="1"/>
    <col min="10" max="16384" width="11.42578125" style="3"/>
  </cols>
  <sheetData>
    <row r="1" spans="1:9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0</v>
      </c>
      <c r="H1" s="1" t="s">
        <v>30</v>
      </c>
      <c r="I1" s="2" t="s">
        <v>31</v>
      </c>
    </row>
    <row r="2" spans="1:9" x14ac:dyDescent="0.25">
      <c r="A2" s="4" t="s">
        <v>1</v>
      </c>
      <c r="B2" s="4" t="s">
        <v>2</v>
      </c>
      <c r="C2" s="5">
        <v>60</v>
      </c>
      <c r="D2" s="4" t="s">
        <v>32</v>
      </c>
      <c r="E2" s="4" t="s">
        <v>33</v>
      </c>
      <c r="F2" s="5">
        <v>0.53</v>
      </c>
      <c r="G2" s="4">
        <v>6</v>
      </c>
      <c r="H2" s="6">
        <v>6.3529999999999998</v>
      </c>
      <c r="I2" s="7">
        <f>(H2 / 2) * 10000000000</f>
        <v>31765000000</v>
      </c>
    </row>
    <row r="3" spans="1:9" x14ac:dyDescent="0.25">
      <c r="A3" s="4" t="s">
        <v>3</v>
      </c>
      <c r="B3" s="4" t="s">
        <v>2</v>
      </c>
      <c r="C3" s="5">
        <v>88</v>
      </c>
      <c r="D3" s="4" t="s">
        <v>32</v>
      </c>
      <c r="E3" s="4" t="s">
        <v>33</v>
      </c>
      <c r="F3" s="5">
        <v>22.3</v>
      </c>
      <c r="G3" s="4">
        <v>6</v>
      </c>
      <c r="H3" s="6">
        <v>4.319</v>
      </c>
      <c r="I3" s="7">
        <f t="shared" ref="I3:I21" si="0">(H3 / 2) * 10000000000</f>
        <v>21595000000</v>
      </c>
    </row>
    <row r="4" spans="1:9" x14ac:dyDescent="0.25">
      <c r="A4" s="4" t="s">
        <v>4</v>
      </c>
      <c r="B4" s="4" t="s">
        <v>2</v>
      </c>
      <c r="C4" s="5">
        <v>70</v>
      </c>
      <c r="D4" s="4" t="s">
        <v>32</v>
      </c>
      <c r="E4" s="4" t="s">
        <v>33</v>
      </c>
      <c r="F4" s="5">
        <v>3.33</v>
      </c>
      <c r="G4" s="4">
        <v>6</v>
      </c>
      <c r="H4" s="6">
        <v>2.2610000000000001</v>
      </c>
      <c r="I4" s="7">
        <f t="shared" si="0"/>
        <v>11305000000</v>
      </c>
    </row>
    <row r="5" spans="1:9" x14ac:dyDescent="0.25">
      <c r="A5" s="4" t="s">
        <v>5</v>
      </c>
      <c r="B5" s="4" t="s">
        <v>6</v>
      </c>
      <c r="C5" s="5">
        <v>56</v>
      </c>
      <c r="D5" s="4" t="s">
        <v>34</v>
      </c>
      <c r="E5" s="4" t="s">
        <v>33</v>
      </c>
      <c r="F5" s="5">
        <v>36.39</v>
      </c>
      <c r="G5" s="4">
        <v>6</v>
      </c>
      <c r="H5" s="6">
        <v>17.681000000000001</v>
      </c>
      <c r="I5" s="7">
        <f t="shared" si="0"/>
        <v>88405000000</v>
      </c>
    </row>
    <row r="6" spans="1:9" x14ac:dyDescent="0.25">
      <c r="A6" s="4" t="s">
        <v>7</v>
      </c>
      <c r="B6" s="4" t="s">
        <v>6</v>
      </c>
      <c r="C6" s="5">
        <v>27</v>
      </c>
      <c r="D6" s="4" t="s">
        <v>32</v>
      </c>
      <c r="E6" s="4" t="s">
        <v>8</v>
      </c>
      <c r="F6" s="5">
        <v>3.43</v>
      </c>
      <c r="G6" s="4">
        <v>7</v>
      </c>
      <c r="H6" s="6">
        <v>5.4850000000000003</v>
      </c>
      <c r="I6" s="7">
        <f t="shared" si="0"/>
        <v>27425000000</v>
      </c>
    </row>
    <row r="7" spans="1:9" x14ac:dyDescent="0.25">
      <c r="A7" s="4" t="s">
        <v>9</v>
      </c>
      <c r="B7" s="4" t="s">
        <v>2</v>
      </c>
      <c r="C7" s="5">
        <v>61</v>
      </c>
      <c r="D7" s="4" t="s">
        <v>34</v>
      </c>
      <c r="E7" s="4" t="s">
        <v>33</v>
      </c>
      <c r="F7" s="5">
        <v>7.423</v>
      </c>
      <c r="G7" s="4">
        <v>5</v>
      </c>
      <c r="H7" s="6">
        <v>10.972</v>
      </c>
      <c r="I7" s="7">
        <f t="shared" si="0"/>
        <v>54860000000</v>
      </c>
    </row>
    <row r="8" spans="1:9" x14ac:dyDescent="0.25">
      <c r="A8" s="4" t="s">
        <v>10</v>
      </c>
      <c r="B8" s="4" t="s">
        <v>6</v>
      </c>
      <c r="C8" s="5">
        <v>63</v>
      </c>
      <c r="D8" s="4" t="s">
        <v>32</v>
      </c>
      <c r="E8" s="4" t="s">
        <v>33</v>
      </c>
      <c r="F8" s="5">
        <v>50</v>
      </c>
      <c r="G8" s="4">
        <v>7</v>
      </c>
      <c r="H8" s="6">
        <v>26.834</v>
      </c>
      <c r="I8" s="7">
        <f t="shared" si="0"/>
        <v>134170000000</v>
      </c>
    </row>
    <row r="9" spans="1:9" x14ac:dyDescent="0.25">
      <c r="A9" s="4" t="s">
        <v>11</v>
      </c>
      <c r="B9" s="4" t="s">
        <v>6</v>
      </c>
      <c r="C9" s="5">
        <v>70</v>
      </c>
      <c r="D9" s="4" t="s">
        <v>35</v>
      </c>
      <c r="E9" s="4" t="s">
        <v>33</v>
      </c>
      <c r="F9" s="5">
        <v>17.600000000000001</v>
      </c>
      <c r="G9" s="4">
        <v>7</v>
      </c>
      <c r="H9" s="6">
        <v>13.047000000000001</v>
      </c>
      <c r="I9" s="7">
        <f t="shared" si="0"/>
        <v>65235000000</v>
      </c>
    </row>
    <row r="10" spans="1:9" x14ac:dyDescent="0.25">
      <c r="A10" s="4" t="s">
        <v>12</v>
      </c>
      <c r="B10" s="4" t="s">
        <v>6</v>
      </c>
      <c r="C10" s="5">
        <v>54</v>
      </c>
      <c r="D10" s="4" t="s">
        <v>32</v>
      </c>
      <c r="E10" s="4" t="s">
        <v>33</v>
      </c>
      <c r="F10" s="5">
        <v>16</v>
      </c>
      <c r="G10" s="4">
        <v>6</v>
      </c>
      <c r="H10" s="6">
        <v>3.266</v>
      </c>
      <c r="I10" s="7">
        <f t="shared" si="0"/>
        <v>16330000000</v>
      </c>
    </row>
    <row r="11" spans="1:9" x14ac:dyDescent="0.25">
      <c r="A11" s="4" t="s">
        <v>13</v>
      </c>
      <c r="B11" s="4" t="s">
        <v>2</v>
      </c>
      <c r="C11" s="5">
        <v>62</v>
      </c>
      <c r="D11" s="4" t="s">
        <v>34</v>
      </c>
      <c r="E11" s="4" t="s">
        <v>8</v>
      </c>
      <c r="F11" s="5">
        <v>14.87</v>
      </c>
      <c r="G11" s="4">
        <v>6</v>
      </c>
      <c r="H11" s="6">
        <v>29.305</v>
      </c>
      <c r="I11" s="7">
        <f t="shared" si="0"/>
        <v>146525000000</v>
      </c>
    </row>
    <row r="12" spans="1:9" x14ac:dyDescent="0.25">
      <c r="A12" s="4" t="s">
        <v>14</v>
      </c>
      <c r="B12" s="4" t="s">
        <v>6</v>
      </c>
      <c r="C12" s="5">
        <v>47</v>
      </c>
      <c r="D12" s="4" t="s">
        <v>34</v>
      </c>
      <c r="E12" s="4" t="s">
        <v>33</v>
      </c>
      <c r="F12" s="5">
        <v>23.97</v>
      </c>
      <c r="G12" s="4">
        <v>6</v>
      </c>
      <c r="H12" s="6">
        <v>7.9059999999999997</v>
      </c>
      <c r="I12" s="7">
        <f t="shared" si="0"/>
        <v>39530000000</v>
      </c>
    </row>
    <row r="13" spans="1:9" x14ac:dyDescent="0.25">
      <c r="A13" s="4" t="s">
        <v>15</v>
      </c>
      <c r="B13" s="4" t="s">
        <v>6</v>
      </c>
      <c r="C13" s="5">
        <v>92</v>
      </c>
      <c r="D13" s="4" t="s">
        <v>34</v>
      </c>
      <c r="E13" s="4" t="s">
        <v>33</v>
      </c>
      <c r="F13" s="5">
        <v>10.84</v>
      </c>
      <c r="G13" s="4">
        <v>5</v>
      </c>
      <c r="H13" s="6">
        <v>6.601</v>
      </c>
      <c r="I13" s="7">
        <f t="shared" si="0"/>
        <v>33005000000</v>
      </c>
    </row>
    <row r="14" spans="1:9" x14ac:dyDescent="0.25">
      <c r="A14" s="4" t="s">
        <v>16</v>
      </c>
      <c r="B14" s="4" t="s">
        <v>6</v>
      </c>
      <c r="C14" s="5">
        <v>48</v>
      </c>
      <c r="D14" s="4" t="s">
        <v>32</v>
      </c>
      <c r="E14" s="4" t="s">
        <v>33</v>
      </c>
      <c r="F14" s="5">
        <v>3.3879999999999999</v>
      </c>
      <c r="G14" s="4">
        <v>7</v>
      </c>
      <c r="H14" s="6">
        <v>25.969000000000001</v>
      </c>
      <c r="I14" s="7">
        <f t="shared" si="0"/>
        <v>129845000000</v>
      </c>
    </row>
    <row r="15" spans="1:9" x14ac:dyDescent="0.25">
      <c r="A15" s="4" t="s">
        <v>17</v>
      </c>
      <c r="B15" s="4" t="s">
        <v>2</v>
      </c>
      <c r="C15" s="5">
        <v>56</v>
      </c>
      <c r="D15" s="4" t="s">
        <v>32</v>
      </c>
      <c r="E15" s="4" t="s">
        <v>33</v>
      </c>
      <c r="F15" s="5">
        <v>2.0169999999999999</v>
      </c>
      <c r="G15" s="4">
        <v>6</v>
      </c>
      <c r="H15" s="6">
        <v>4.7409999999999997</v>
      </c>
      <c r="I15" s="7">
        <f t="shared" si="0"/>
        <v>23705000000</v>
      </c>
    </row>
    <row r="16" spans="1:9" x14ac:dyDescent="0.25">
      <c r="A16" s="4" t="s">
        <v>18</v>
      </c>
      <c r="B16" s="4" t="s">
        <v>6</v>
      </c>
      <c r="C16" s="5">
        <v>78</v>
      </c>
      <c r="D16" s="4" t="s">
        <v>32</v>
      </c>
      <c r="E16" s="4" t="s">
        <v>33</v>
      </c>
      <c r="F16" s="5">
        <v>7.6970000000000001</v>
      </c>
      <c r="G16" s="4">
        <v>6</v>
      </c>
      <c r="H16" s="6">
        <v>3.8039999999999998</v>
      </c>
      <c r="I16" s="7">
        <f t="shared" si="0"/>
        <v>19020000000</v>
      </c>
    </row>
    <row r="17" spans="1:9" x14ac:dyDescent="0.25">
      <c r="A17" s="4" t="s">
        <v>19</v>
      </c>
      <c r="B17" s="4" t="s">
        <v>6</v>
      </c>
      <c r="C17" s="5">
        <v>55</v>
      </c>
      <c r="D17" s="4" t="s">
        <v>34</v>
      </c>
      <c r="E17" s="4" t="s">
        <v>33</v>
      </c>
      <c r="F17" s="5">
        <v>22.01</v>
      </c>
      <c r="G17" s="4">
        <v>6</v>
      </c>
      <c r="H17" s="6">
        <v>32.295000000000002</v>
      </c>
      <c r="I17" s="7">
        <f t="shared" si="0"/>
        <v>161475000000</v>
      </c>
    </row>
    <row r="18" spans="1:9" x14ac:dyDescent="0.25">
      <c r="A18" s="4" t="s">
        <v>20</v>
      </c>
      <c r="B18" s="4" t="s">
        <v>2</v>
      </c>
      <c r="C18" s="5">
        <v>54</v>
      </c>
      <c r="D18" s="4" t="s">
        <v>32</v>
      </c>
      <c r="E18" s="4" t="s">
        <v>33</v>
      </c>
      <c r="F18" s="5">
        <v>2.988</v>
      </c>
      <c r="G18" s="4">
        <v>6</v>
      </c>
      <c r="H18" s="6">
        <v>10.974</v>
      </c>
      <c r="I18" s="7">
        <f t="shared" si="0"/>
        <v>54870000000</v>
      </c>
    </row>
    <row r="19" spans="1:9" x14ac:dyDescent="0.25">
      <c r="A19" s="4" t="s">
        <v>21</v>
      </c>
      <c r="B19" s="4" t="s">
        <v>2</v>
      </c>
      <c r="C19" s="5">
        <v>61</v>
      </c>
      <c r="D19" s="4" t="s">
        <v>34</v>
      </c>
      <c r="E19" s="4" t="s">
        <v>33</v>
      </c>
      <c r="F19" s="5">
        <v>15.57</v>
      </c>
      <c r="G19" s="4">
        <v>7</v>
      </c>
      <c r="H19" s="6">
        <v>6.5469999999999997</v>
      </c>
      <c r="I19" s="7">
        <f t="shared" si="0"/>
        <v>32735000000</v>
      </c>
    </row>
    <row r="20" spans="1:9" x14ac:dyDescent="0.25">
      <c r="A20" s="4" t="s">
        <v>22</v>
      </c>
      <c r="B20" s="4" t="s">
        <v>2</v>
      </c>
      <c r="C20" s="5">
        <v>47</v>
      </c>
      <c r="D20" s="4" t="s">
        <v>34</v>
      </c>
      <c r="E20" s="4" t="s">
        <v>33</v>
      </c>
      <c r="F20" s="5">
        <v>14.02</v>
      </c>
      <c r="G20" s="4">
        <v>6</v>
      </c>
      <c r="H20" s="6">
        <v>11.125999999999999</v>
      </c>
      <c r="I20" s="7">
        <f t="shared" si="0"/>
        <v>55630000000</v>
      </c>
    </row>
    <row r="21" spans="1:9" x14ac:dyDescent="0.25">
      <c r="A21" s="4" t="s">
        <v>23</v>
      </c>
      <c r="B21" s="4" t="s">
        <v>6</v>
      </c>
      <c r="C21" s="5">
        <v>33</v>
      </c>
      <c r="D21" s="4" t="s">
        <v>32</v>
      </c>
      <c r="E21" s="4" t="s">
        <v>33</v>
      </c>
      <c r="F21" s="5">
        <v>3.2040000000000002</v>
      </c>
      <c r="G21" s="4">
        <v>7</v>
      </c>
      <c r="H21" s="6">
        <v>5.8769999999999998</v>
      </c>
      <c r="I21" s="7">
        <f t="shared" si="0"/>
        <v>29385000000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Sofia-Gamer</cp:lastModifiedBy>
  <dcterms:modified xsi:type="dcterms:W3CDTF">2026-10-19T22:17:35Z</dcterms:modified>
</cp:coreProperties>
</file>
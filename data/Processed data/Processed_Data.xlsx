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fi\Documentos\TESIS MAESTRÍA\DATOS PROCESADOS\Traducción a inglés\"/>
    </mc:Choice>
  </mc:AlternateContent>
  <bookViews>
    <workbookView xWindow="0" yWindow="0" windowWidth="25125" windowHeight="12210"/>
  </bookViews>
  <sheets>
    <sheet name="Checkpoints" sheetId="1" r:id="rId1"/>
    <sheet name="Spearman checkpoints" sheetId="3" r:id="rId2"/>
    <sheet name="Cytokines" sheetId="2" r:id="rId3"/>
    <sheet name="Spearman Cytokines" sheetId="4" r:id="rId4"/>
    <sheet name="Spearman 72 h" sheetId="5" r:id="rId5"/>
  </sheets>
  <externalReferences>
    <externalReference r:id="rId6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0" i="2" l="1"/>
  <c r="V119" i="2"/>
  <c r="D118" i="2"/>
  <c r="V117" i="2"/>
  <c r="D117" i="2"/>
  <c r="D116" i="2"/>
  <c r="V115" i="2"/>
  <c r="D115" i="2"/>
  <c r="V114" i="2"/>
  <c r="D114" i="2"/>
  <c r="D113" i="2"/>
  <c r="V111" i="2"/>
  <c r="D111" i="2"/>
  <c r="V110" i="2"/>
  <c r="D110" i="2"/>
  <c r="V109" i="2"/>
  <c r="D109" i="2"/>
  <c r="V108" i="2"/>
  <c r="D108" i="2"/>
  <c r="V107" i="2"/>
  <c r="D107" i="2"/>
  <c r="V106" i="2"/>
  <c r="D106" i="2"/>
  <c r="V105" i="2"/>
  <c r="D105" i="2"/>
  <c r="V104" i="2"/>
  <c r="D104" i="2"/>
  <c r="V102" i="2"/>
  <c r="D102" i="2"/>
  <c r="V101" i="2"/>
  <c r="D101" i="2"/>
  <c r="D100" i="2"/>
  <c r="V99" i="2"/>
  <c r="D99" i="2"/>
  <c r="V98" i="2"/>
  <c r="D98" i="2"/>
  <c r="V97" i="2"/>
  <c r="D97" i="2"/>
  <c r="D96" i="2"/>
  <c r="V95" i="2"/>
  <c r="D95" i="2"/>
  <c r="V93" i="2"/>
  <c r="D92" i="2"/>
  <c r="D91" i="2"/>
  <c r="D90" i="2"/>
  <c r="V89" i="2"/>
  <c r="D89" i="2"/>
  <c r="D88" i="2"/>
  <c r="V87" i="2"/>
  <c r="D87" i="2"/>
  <c r="V86" i="2"/>
  <c r="D86" i="2"/>
  <c r="D84" i="2"/>
  <c r="V83" i="2"/>
  <c r="D83" i="2"/>
  <c r="V82" i="2"/>
  <c r="D82" i="2"/>
  <c r="V81" i="2"/>
  <c r="D81" i="2"/>
  <c r="V80" i="2"/>
  <c r="V79" i="2"/>
  <c r="D79" i="2"/>
  <c r="V78" i="2"/>
  <c r="D78" i="2"/>
  <c r="D77" i="2"/>
  <c r="V74" i="2"/>
  <c r="D74" i="2"/>
  <c r="D72" i="2"/>
  <c r="V71" i="2"/>
  <c r="D71" i="2"/>
  <c r="V70" i="2"/>
  <c r="D70" i="2"/>
  <c r="V69" i="2"/>
  <c r="D69" i="2"/>
  <c r="V68" i="2"/>
  <c r="D68" i="2"/>
  <c r="V66" i="2"/>
  <c r="D66" i="2"/>
  <c r="D65" i="2"/>
  <c r="V64" i="2"/>
  <c r="D63" i="2"/>
  <c r="D62" i="2"/>
  <c r="V61" i="2"/>
  <c r="V60" i="2"/>
  <c r="D60" i="2"/>
  <c r="D57" i="2"/>
  <c r="V56" i="2"/>
  <c r="D56" i="2"/>
  <c r="V55" i="2"/>
  <c r="D55" i="2"/>
  <c r="D54" i="2"/>
  <c r="V53" i="2"/>
  <c r="D53" i="2"/>
  <c r="V52" i="2"/>
  <c r="D52" i="2"/>
  <c r="V51" i="2"/>
  <c r="D51" i="2"/>
  <c r="V50" i="2"/>
  <c r="D50" i="2"/>
  <c r="V48" i="2"/>
  <c r="D46" i="2"/>
  <c r="V45" i="2"/>
  <c r="D45" i="2"/>
  <c r="V44" i="2"/>
  <c r="D43" i="2"/>
  <c r="D42" i="2"/>
  <c r="D41" i="2"/>
  <c r="D39" i="2"/>
  <c r="D38" i="2"/>
  <c r="V37" i="2"/>
  <c r="V36" i="2"/>
  <c r="D36" i="2"/>
  <c r="V35" i="2"/>
  <c r="D35" i="2"/>
  <c r="D34" i="2"/>
  <c r="V33" i="2"/>
  <c r="D33" i="2"/>
  <c r="V32" i="2"/>
  <c r="D32" i="2"/>
  <c r="V30" i="2"/>
  <c r="D30" i="2"/>
  <c r="V29" i="2"/>
  <c r="D29" i="2"/>
  <c r="V28" i="2"/>
  <c r="D28" i="2"/>
  <c r="V26" i="2"/>
  <c r="D26" i="2"/>
  <c r="V25" i="2"/>
  <c r="D25" i="2"/>
  <c r="V24" i="2"/>
  <c r="D24" i="2"/>
  <c r="V21" i="2"/>
  <c r="D21" i="2"/>
  <c r="D20" i="2"/>
  <c r="V19" i="2"/>
  <c r="D19" i="2"/>
  <c r="V18" i="2"/>
  <c r="D18" i="2"/>
  <c r="V17" i="2"/>
  <c r="D17" i="2"/>
  <c r="V16" i="2"/>
  <c r="D16" i="2"/>
  <c r="V15" i="2"/>
  <c r="D15" i="2"/>
  <c r="V14" i="2"/>
  <c r="D14" i="2"/>
  <c r="V12" i="2"/>
  <c r="D12" i="2"/>
  <c r="V11" i="2"/>
  <c r="D11" i="2"/>
  <c r="V10" i="2"/>
  <c r="D10" i="2"/>
  <c r="V9" i="2"/>
  <c r="D9" i="2"/>
  <c r="V8" i="2"/>
  <c r="D8" i="2"/>
  <c r="V7" i="2"/>
  <c r="D7" i="2"/>
  <c r="V6" i="2"/>
  <c r="D6" i="2"/>
  <c r="V5" i="2"/>
  <c r="D5" i="2"/>
  <c r="M112" i="1"/>
  <c r="D112" i="1"/>
  <c r="M111" i="1"/>
  <c r="D111" i="1"/>
  <c r="M110" i="1"/>
  <c r="D110" i="1"/>
  <c r="M109" i="1"/>
  <c r="D108" i="1"/>
  <c r="D107" i="1"/>
  <c r="M106" i="1"/>
  <c r="D106" i="1"/>
  <c r="M105" i="1"/>
  <c r="D105" i="1"/>
  <c r="M102" i="1"/>
  <c r="D102" i="1"/>
  <c r="D101" i="1"/>
  <c r="D97" i="1"/>
  <c r="D96" i="1"/>
  <c r="D94" i="1"/>
  <c r="M93" i="1"/>
  <c r="D93" i="1"/>
  <c r="D92" i="1"/>
  <c r="M91" i="1"/>
  <c r="M90" i="1"/>
  <c r="D90" i="1"/>
  <c r="M89" i="1"/>
  <c r="D89" i="1"/>
  <c r="M88" i="1"/>
  <c r="D88" i="1"/>
  <c r="M87" i="1"/>
  <c r="D87" i="1"/>
  <c r="M85" i="1"/>
  <c r="D85" i="1"/>
  <c r="M84" i="1"/>
  <c r="D84" i="1"/>
  <c r="M83" i="1"/>
  <c r="D83" i="1"/>
  <c r="M82" i="1"/>
  <c r="D82" i="1"/>
  <c r="M81" i="1"/>
  <c r="D81" i="1"/>
  <c r="M80" i="1"/>
  <c r="D80" i="1"/>
  <c r="M79" i="1"/>
  <c r="D79" i="1"/>
  <c r="M78" i="1"/>
  <c r="D78" i="1"/>
  <c r="M76" i="1"/>
  <c r="D76" i="1"/>
  <c r="M75" i="1"/>
  <c r="D75" i="1"/>
  <c r="M74" i="1"/>
  <c r="D74" i="1"/>
  <c r="M73" i="1"/>
  <c r="D73" i="1"/>
  <c r="M72" i="1"/>
  <c r="D72" i="1"/>
  <c r="M71" i="1"/>
  <c r="D71" i="1"/>
  <c r="M70" i="1"/>
  <c r="D70" i="1"/>
  <c r="M69" i="1"/>
  <c r="D69" i="1"/>
  <c r="M67" i="1"/>
  <c r="D67" i="1"/>
  <c r="M66" i="1"/>
  <c r="D66" i="1"/>
  <c r="M65" i="1"/>
  <c r="D65" i="1"/>
  <c r="M64" i="1"/>
  <c r="D64" i="1"/>
  <c r="M63" i="1"/>
  <c r="D63" i="1"/>
  <c r="M62" i="1"/>
  <c r="D62" i="1"/>
  <c r="M61" i="1"/>
  <c r="D61" i="1"/>
  <c r="M60" i="1"/>
  <c r="D60" i="1"/>
  <c r="M58" i="1"/>
  <c r="D58" i="1"/>
  <c r="M57" i="1"/>
  <c r="D57" i="1"/>
  <c r="M56" i="1"/>
  <c r="D56" i="1"/>
  <c r="M55" i="1"/>
  <c r="D55" i="1"/>
  <c r="M54" i="1"/>
  <c r="D54" i="1"/>
  <c r="M53" i="1"/>
  <c r="D53" i="1"/>
  <c r="M52" i="1"/>
  <c r="D52" i="1"/>
  <c r="M51" i="1"/>
  <c r="D51" i="1"/>
  <c r="M49" i="1"/>
  <c r="D49" i="1"/>
  <c r="M48" i="1"/>
  <c r="D48" i="1"/>
  <c r="M47" i="1"/>
  <c r="D47" i="1"/>
  <c r="M46" i="1"/>
  <c r="D46" i="1"/>
  <c r="M45" i="1"/>
  <c r="D45" i="1"/>
  <c r="M44" i="1"/>
  <c r="D44" i="1"/>
  <c r="M43" i="1"/>
  <c r="D43" i="1"/>
  <c r="M42" i="1"/>
  <c r="D42" i="1"/>
  <c r="M40" i="1"/>
  <c r="D40" i="1"/>
  <c r="M39" i="1"/>
  <c r="D39" i="1"/>
  <c r="M38" i="1"/>
  <c r="D38" i="1"/>
  <c r="M37" i="1"/>
  <c r="D37" i="1"/>
  <c r="M36" i="1"/>
  <c r="D36" i="1"/>
  <c r="M35" i="1"/>
  <c r="D35" i="1"/>
  <c r="M34" i="1"/>
  <c r="D34" i="1"/>
  <c r="M33" i="1"/>
  <c r="D33" i="1"/>
  <c r="M31" i="1"/>
  <c r="D31" i="1"/>
  <c r="M30" i="1"/>
  <c r="D30" i="1"/>
  <c r="M29" i="1"/>
  <c r="D29" i="1"/>
  <c r="M28" i="1"/>
  <c r="D28" i="1"/>
  <c r="M27" i="1"/>
  <c r="D27" i="1"/>
  <c r="M26" i="1"/>
  <c r="D26" i="1"/>
  <c r="M25" i="1"/>
  <c r="D25" i="1"/>
  <c r="M24" i="1"/>
  <c r="D24" i="1"/>
  <c r="M22" i="1"/>
  <c r="D22" i="1"/>
  <c r="M21" i="1"/>
  <c r="D21" i="1"/>
  <c r="M20" i="1"/>
  <c r="D20" i="1"/>
  <c r="M19" i="1"/>
  <c r="D19" i="1"/>
  <c r="M18" i="1"/>
  <c r="D18" i="1"/>
  <c r="M17" i="1"/>
  <c r="D17" i="1"/>
  <c r="M16" i="1"/>
  <c r="D16" i="1"/>
  <c r="M15" i="1"/>
  <c r="D15" i="1"/>
  <c r="M13" i="1"/>
  <c r="D13" i="1"/>
  <c r="M12" i="1"/>
  <c r="D12" i="1"/>
  <c r="M11" i="1"/>
  <c r="D11" i="1"/>
  <c r="M10" i="1"/>
  <c r="D10" i="1"/>
  <c r="M9" i="1"/>
  <c r="D9" i="1"/>
  <c r="M8" i="1"/>
  <c r="D8" i="1"/>
  <c r="M7" i="1"/>
  <c r="D7" i="1"/>
  <c r="M6" i="1"/>
  <c r="D6" i="1"/>
  <c r="V120" i="2"/>
  <c r="M120" i="2"/>
  <c r="AE119" i="2"/>
  <c r="M119" i="2"/>
  <c r="AE118" i="2"/>
  <c r="M118" i="2"/>
  <c r="AE117" i="2"/>
  <c r="M117" i="2"/>
  <c r="V116" i="2"/>
  <c r="M116" i="2"/>
  <c r="AE115" i="2"/>
  <c r="M115" i="2"/>
  <c r="AE114" i="2"/>
  <c r="M114" i="2"/>
  <c r="V113" i="2"/>
  <c r="M113" i="2"/>
  <c r="AE111" i="2"/>
  <c r="M111" i="2"/>
  <c r="AE110" i="2"/>
  <c r="M110" i="2"/>
  <c r="AE109" i="2"/>
  <c r="M109" i="2"/>
  <c r="AE108" i="2"/>
  <c r="M108" i="2"/>
  <c r="AE107" i="2"/>
  <c r="M107" i="2"/>
  <c r="AE106" i="2"/>
  <c r="M106" i="2"/>
  <c r="AE105" i="2"/>
  <c r="M105" i="2"/>
  <c r="AE104" i="2"/>
  <c r="M104" i="2"/>
  <c r="AE102" i="2"/>
  <c r="M102" i="2"/>
  <c r="AE101" i="2"/>
  <c r="M101" i="2"/>
  <c r="AE100" i="2"/>
  <c r="M100" i="2"/>
  <c r="AE99" i="2"/>
  <c r="M99" i="2"/>
  <c r="AE98" i="2"/>
  <c r="M98" i="2"/>
  <c r="AE97" i="2"/>
  <c r="M97" i="2"/>
  <c r="V96" i="2"/>
  <c r="M96" i="2"/>
  <c r="AE95" i="2"/>
  <c r="AE93" i="2"/>
  <c r="M93" i="2"/>
  <c r="AE92" i="2"/>
  <c r="AE91" i="2"/>
  <c r="M91" i="2"/>
  <c r="V90" i="2"/>
  <c r="M90" i="2"/>
  <c r="AE89" i="2"/>
  <c r="M89" i="2"/>
  <c r="V88" i="2"/>
  <c r="M88" i="2"/>
  <c r="AE87" i="2"/>
  <c r="M87" i="2"/>
  <c r="AE86" i="2"/>
  <c r="M86" i="2"/>
  <c r="AE84" i="2"/>
  <c r="AE83" i="2"/>
  <c r="M83" i="2"/>
  <c r="AE82" i="2"/>
  <c r="AE81" i="2"/>
  <c r="AE80" i="2"/>
  <c r="M80" i="2"/>
  <c r="AE79" i="2"/>
  <c r="AE78" i="2"/>
  <c r="M78" i="2"/>
  <c r="AE77" i="2"/>
  <c r="M77" i="2"/>
  <c r="AE75" i="2"/>
  <c r="AE74" i="2"/>
  <c r="M74" i="2"/>
  <c r="AE73" i="2"/>
  <c r="M73" i="2"/>
  <c r="V72" i="2"/>
  <c r="M72" i="2"/>
  <c r="AE71" i="2"/>
  <c r="M71" i="2"/>
  <c r="AE70" i="2"/>
  <c r="M70" i="2"/>
  <c r="AE69" i="2"/>
  <c r="M69" i="2"/>
  <c r="AE68" i="2"/>
  <c r="M68" i="2"/>
  <c r="AE66" i="2"/>
  <c r="M66" i="2"/>
  <c r="V65" i="2"/>
  <c r="M65" i="2"/>
  <c r="AE64" i="2"/>
  <c r="M64" i="2"/>
  <c r="V63" i="2"/>
  <c r="M63" i="2"/>
  <c r="V62" i="2"/>
  <c r="M62" i="2"/>
  <c r="AE61" i="2"/>
  <c r="M61" i="2"/>
  <c r="AE60" i="2"/>
  <c r="M60" i="2"/>
  <c r="V59" i="2"/>
  <c r="M59" i="2"/>
  <c r="V57" i="2"/>
  <c r="M57" i="2"/>
  <c r="AE56" i="2"/>
  <c r="M56" i="2"/>
  <c r="AE55" i="2"/>
  <c r="M55" i="2"/>
  <c r="V54" i="2"/>
  <c r="M54" i="2"/>
  <c r="AE53" i="2"/>
  <c r="M53" i="2"/>
  <c r="AE52" i="2"/>
  <c r="M52" i="2"/>
  <c r="AE51" i="2"/>
  <c r="M51" i="2"/>
  <c r="AE50" i="2"/>
  <c r="M50" i="2"/>
  <c r="AE48" i="2"/>
  <c r="M48" i="2"/>
  <c r="AE47" i="2"/>
  <c r="M46" i="2"/>
  <c r="AE45" i="2"/>
  <c r="AE44" i="2"/>
  <c r="M44" i="2"/>
  <c r="V43" i="2"/>
  <c r="V42" i="2"/>
  <c r="M42" i="2"/>
  <c r="V41" i="2"/>
  <c r="M41" i="2"/>
  <c r="V39" i="2"/>
  <c r="M39" i="2"/>
  <c r="V38" i="2"/>
  <c r="M38" i="2"/>
  <c r="AE37" i="2"/>
  <c r="M37" i="2"/>
  <c r="AE36" i="2"/>
  <c r="M36" i="2"/>
  <c r="AE35" i="2"/>
  <c r="M35" i="2"/>
  <c r="AE34" i="2"/>
  <c r="M34" i="2"/>
  <c r="AE33" i="2"/>
  <c r="M33" i="2"/>
  <c r="AE32" i="2"/>
  <c r="M32" i="2"/>
  <c r="AE30" i="2"/>
  <c r="M30" i="2"/>
  <c r="AE29" i="2"/>
  <c r="M29" i="2"/>
  <c r="AE28" i="2"/>
  <c r="M28" i="2"/>
  <c r="V27" i="2"/>
  <c r="M27" i="2"/>
  <c r="AE26" i="2"/>
  <c r="AE25" i="2"/>
  <c r="M25" i="2"/>
  <c r="AE24" i="2"/>
  <c r="M24" i="2"/>
  <c r="AE23" i="2"/>
  <c r="M23" i="2"/>
  <c r="AE21" i="2"/>
  <c r="M21" i="2"/>
  <c r="V20" i="2"/>
  <c r="M20" i="2"/>
  <c r="AE19" i="2"/>
  <c r="M19" i="2"/>
  <c r="AE18" i="2"/>
  <c r="M18" i="2"/>
  <c r="AE17" i="2"/>
  <c r="M17" i="2"/>
  <c r="AE16" i="2"/>
  <c r="M16" i="2"/>
  <c r="AE15" i="2"/>
  <c r="M15" i="2"/>
  <c r="AE14" i="2"/>
  <c r="M14" i="2"/>
  <c r="AE12" i="2"/>
  <c r="M12" i="2"/>
  <c r="AE11" i="2"/>
  <c r="M11" i="2"/>
  <c r="AE10" i="2"/>
  <c r="M10" i="2"/>
  <c r="AE9" i="2"/>
  <c r="M9" i="2"/>
  <c r="AE8" i="2"/>
  <c r="M8" i="2"/>
  <c r="AE7" i="2"/>
  <c r="M7" i="2"/>
  <c r="AE6" i="2"/>
  <c r="M6" i="2"/>
  <c r="AE5" i="2"/>
  <c r="M5" i="2"/>
  <c r="V112" i="1"/>
  <c r="V111" i="1"/>
  <c r="AE109" i="1"/>
  <c r="AE108" i="1"/>
  <c r="AE107" i="1"/>
  <c r="V106" i="1"/>
  <c r="AE105" i="1"/>
  <c r="V102" i="1"/>
  <c r="AE101" i="1"/>
  <c r="AE100" i="1"/>
  <c r="AE99" i="1"/>
  <c r="AE98" i="1"/>
  <c r="V94" i="1"/>
  <c r="V93" i="1"/>
  <c r="AE92" i="1"/>
  <c r="AE91" i="1"/>
  <c r="AE90" i="1"/>
  <c r="AE89" i="1"/>
  <c r="V89" i="1"/>
  <c r="AE88" i="1"/>
  <c r="V88" i="1"/>
  <c r="AE87" i="1"/>
  <c r="V85" i="1"/>
  <c r="V84" i="1"/>
  <c r="AE83" i="1"/>
  <c r="V83" i="1"/>
  <c r="AE82" i="1"/>
  <c r="V82" i="1"/>
  <c r="AE81" i="1"/>
  <c r="V81" i="1"/>
  <c r="AE80" i="1"/>
  <c r="V80" i="1"/>
  <c r="AE79" i="1"/>
  <c r="V79" i="1"/>
  <c r="AE78" i="1"/>
  <c r="V78" i="1"/>
  <c r="V76" i="1"/>
  <c r="V75" i="1"/>
  <c r="AE74" i="1"/>
  <c r="V74" i="1"/>
  <c r="AE73" i="1"/>
  <c r="V73" i="1"/>
  <c r="AE72" i="1"/>
  <c r="V72" i="1"/>
  <c r="AE71" i="1"/>
  <c r="V71" i="1"/>
  <c r="AE70" i="1"/>
  <c r="V70" i="1"/>
  <c r="AE69" i="1"/>
  <c r="V69" i="1"/>
  <c r="V67" i="1"/>
  <c r="V66" i="1"/>
  <c r="AE65" i="1"/>
  <c r="V65" i="1"/>
  <c r="AE64" i="1"/>
  <c r="V64" i="1"/>
  <c r="AE63" i="1"/>
  <c r="V63" i="1"/>
  <c r="AE62" i="1"/>
  <c r="V62" i="1"/>
  <c r="AE61" i="1"/>
  <c r="V61" i="1"/>
  <c r="AE60" i="1"/>
  <c r="V60" i="1"/>
  <c r="V58" i="1"/>
  <c r="V57" i="1"/>
  <c r="AE56" i="1"/>
  <c r="V56" i="1"/>
  <c r="AE55" i="1"/>
  <c r="V55" i="1"/>
  <c r="AE54" i="1"/>
  <c r="V54" i="1"/>
  <c r="AE53" i="1"/>
  <c r="V53" i="1"/>
  <c r="AE52" i="1"/>
  <c r="V52" i="1"/>
  <c r="AE51" i="1"/>
  <c r="V51" i="1"/>
  <c r="V49" i="1"/>
  <c r="V48" i="1"/>
  <c r="AE47" i="1"/>
  <c r="V47" i="1"/>
  <c r="AE46" i="1"/>
  <c r="V46" i="1"/>
  <c r="AE45" i="1"/>
  <c r="V45" i="1"/>
  <c r="AE44" i="1"/>
  <c r="V44" i="1"/>
  <c r="AE43" i="1"/>
  <c r="V43" i="1"/>
  <c r="AE42" i="1"/>
  <c r="V42" i="1"/>
  <c r="V40" i="1"/>
  <c r="V39" i="1"/>
  <c r="AE38" i="1"/>
  <c r="V38" i="1"/>
  <c r="AE37" i="1"/>
  <c r="V37" i="1"/>
  <c r="AE36" i="1"/>
  <c r="V36" i="1"/>
  <c r="V35" i="1"/>
  <c r="AE34" i="1"/>
  <c r="V34" i="1"/>
  <c r="AE33" i="1"/>
  <c r="V33" i="1"/>
  <c r="V31" i="1"/>
  <c r="V30" i="1"/>
  <c r="AE29" i="1"/>
  <c r="V29" i="1"/>
  <c r="AE28" i="1"/>
  <c r="V28" i="1"/>
  <c r="V27" i="1"/>
  <c r="AE26" i="1"/>
  <c r="V26" i="1"/>
  <c r="AE25" i="1"/>
  <c r="V25" i="1"/>
  <c r="AE24" i="1"/>
  <c r="V24" i="1"/>
  <c r="V22" i="1"/>
  <c r="V21" i="1"/>
  <c r="AE20" i="1"/>
  <c r="V20" i="1"/>
  <c r="AE19" i="1"/>
  <c r="V19" i="1"/>
  <c r="AE18" i="1"/>
  <c r="V18" i="1"/>
  <c r="AE17" i="1"/>
  <c r="V17" i="1"/>
  <c r="AE16" i="1"/>
  <c r="V16" i="1"/>
  <c r="AE15" i="1"/>
  <c r="V15" i="1"/>
  <c r="V13" i="1"/>
  <c r="V12" i="1"/>
  <c r="AE11" i="1"/>
  <c r="V11" i="1"/>
  <c r="AE10" i="1"/>
  <c r="V10" i="1"/>
  <c r="AE9" i="1"/>
  <c r="V9" i="1"/>
  <c r="AE8" i="1"/>
  <c r="V8" i="1"/>
  <c r="AE7" i="1"/>
  <c r="V7" i="1"/>
  <c r="AE6" i="1"/>
  <c r="V6" i="1"/>
</calcChain>
</file>

<file path=xl/sharedStrings.xml><?xml version="1.0" encoding="utf-8"?>
<sst xmlns="http://schemas.openxmlformats.org/spreadsheetml/2006/main" count="5765" uniqueCount="771">
  <si>
    <t>PBMCs (pg/mL)</t>
  </si>
  <si>
    <t>sEVs (pg/mL)</t>
  </si>
  <si>
    <t>PBMCs vs. sEVs (pg/mL)</t>
  </si>
  <si>
    <t>24 h</t>
  </si>
  <si>
    <t>48 h</t>
  </si>
  <si>
    <t>72 h</t>
  </si>
  <si>
    <t>n = 22</t>
  </si>
  <si>
    <r>
      <rPr>
        <sz val="11"/>
        <color theme="1"/>
        <rFont val="Calibri"/>
        <family val="2"/>
      </rPr>
      <t xml:space="preserve">median </t>
    </r>
    <r>
      <rPr>
        <sz val="11"/>
        <color theme="1"/>
        <rFont val="Calibri"/>
        <family val="2"/>
      </rPr>
      <t>± SD</t>
    </r>
  </si>
  <si>
    <t>Q1 - Q3</t>
  </si>
  <si>
    <t>n = 12</t>
  </si>
  <si>
    <t>rho</t>
  </si>
  <si>
    <t>Interpretation</t>
  </si>
  <si>
    <t>4-1BB</t>
  </si>
  <si>
    <t>Very weak</t>
  </si>
  <si>
    <t>HC</t>
  </si>
  <si>
    <t>3</t>
  </si>
  <si>
    <t>64,570 ± 4,600</t>
  </si>
  <si>
    <t>2</t>
  </si>
  <si>
    <t>67,310 ± 3,340</t>
  </si>
  <si>
    <t>77,690 ± 5,146</t>
  </si>
  <si>
    <t>125,410 ± 23,690</t>
  </si>
  <si>
    <t>Weak</t>
  </si>
  <si>
    <t>0,866</t>
  </si>
  <si>
    <t>Very strong</t>
  </si>
  <si>
    <t>0,894</t>
  </si>
  <si>
    <t>CG</t>
  </si>
  <si>
    <t>75,000 ± 7,445</t>
  </si>
  <si>
    <t>87,800 ± 7,710</t>
  </si>
  <si>
    <t>65,680 ± 6,366</t>
  </si>
  <si>
    <t>69,740 ± 11,010</t>
  </si>
  <si>
    <t>Moderate</t>
  </si>
  <si>
    <t>*</t>
  </si>
  <si>
    <t>-0,289</t>
  </si>
  <si>
    <t>-0,447</t>
  </si>
  <si>
    <t>0,288</t>
  </si>
  <si>
    <t>GC I</t>
  </si>
  <si>
    <t>68,980 ± 10,910</t>
  </si>
  <si>
    <t>60,240 ± 10,136</t>
  </si>
  <si>
    <t>71,780 ± 4,093</t>
  </si>
  <si>
    <t>111,945 ± 1,035</t>
  </si>
  <si>
    <t>Strong</t>
  </si>
  <si>
    <t>**</t>
  </si>
  <si>
    <t>GC II</t>
  </si>
  <si>
    <t>69,090 ± 12,953</t>
  </si>
  <si>
    <t>77,690 ± 2,959</t>
  </si>
  <si>
    <t>63,570 ± 3,228</t>
  </si>
  <si>
    <t>186,635 ± 77,865</t>
  </si>
  <si>
    <t>***</t>
  </si>
  <si>
    <t>GC III</t>
  </si>
  <si>
    <t>68,850 ± 7,173</t>
  </si>
  <si>
    <t>45,200 ± 11,585</t>
  </si>
  <si>
    <t>78,670 ± 7,161</t>
  </si>
  <si>
    <t>144,010 ± 72,920</t>
  </si>
  <si>
    <t>0,577</t>
  </si>
  <si>
    <t>GC IV</t>
  </si>
  <si>
    <t>55,100 ± 10,702</t>
  </si>
  <si>
    <t>72,590 ± 8,211</t>
  </si>
  <si>
    <t>60,410 ± 2,506</t>
  </si>
  <si>
    <t>100,885 ± 8,295</t>
  </si>
  <si>
    <t>SC</t>
  </si>
  <si>
    <t>79,385 ± 3,555</t>
  </si>
  <si>
    <t>94,250 ± 1,670</t>
  </si>
  <si>
    <t>75,855 ± 2,315</t>
  </si>
  <si>
    <t>ND</t>
  </si>
  <si>
    <t>UC</t>
  </si>
  <si>
    <t>77,370 ± 2,820</t>
  </si>
  <si>
    <t>76,615 ± 5,805</t>
  </si>
  <si>
    <t>78,955 ± 1,095</t>
  </si>
  <si>
    <t>B7.2</t>
  </si>
  <si>
    <t>1029,459 ± 11,606</t>
  </si>
  <si>
    <t>334,940 ± 3,900</t>
  </si>
  <si>
    <t>331,050 ± 9,780</t>
  </si>
  <si>
    <t>1</t>
  </si>
  <si>
    <t>1078,880 ± ND</t>
  </si>
  <si>
    <t>0,774</t>
  </si>
  <si>
    <t>1037,180 ± 5,790</t>
  </si>
  <si>
    <t>321,360 ± ND</t>
  </si>
  <si>
    <t>335,565 ± 4,525</t>
  </si>
  <si>
    <t>375,075 ± 7,785</t>
  </si>
  <si>
    <t>-0,894</t>
  </si>
  <si>
    <t>329,460 ± 6,560</t>
  </si>
  <si>
    <t>312,760 ± 1,549</t>
  </si>
  <si>
    <t>337,260 ± 9,447</t>
  </si>
  <si>
    <t>1274,875 ± 104,695</t>
  </si>
  <si>
    <t>331,375 ± 28,125</t>
  </si>
  <si>
    <t>318,880 ± 7,147</t>
  </si>
  <si>
    <t>311,255 ± 12,105</t>
  </si>
  <si>
    <t>1655,290 ± 347,860</t>
  </si>
  <si>
    <t>312,755 ± 1,725</t>
  </si>
  <si>
    <t>301,140 ± 29,300</t>
  </si>
  <si>
    <t>332,750 ± 5,567</t>
  </si>
  <si>
    <t>1407,235 ± 335,305</t>
  </si>
  <si>
    <t>1026,675 ± 1,225</t>
  </si>
  <si>
    <t>325,060 ± 12,060</t>
  </si>
  <si>
    <t>322,850 ± 4,632</t>
  </si>
  <si>
    <t>270,890 ± 105,150</t>
  </si>
  <si>
    <t>0</t>
  </si>
  <si>
    <t>705,035 ± 356,775</t>
  </si>
  <si>
    <t>771,335 ± 446,405</t>
  </si>
  <si>
    <t>796,080 ± 458,030</t>
  </si>
  <si>
    <t>854,515 ± 489,775</t>
  </si>
  <si>
    <t>346,610 ± 8,850</t>
  </si>
  <si>
    <t>356,225 ± 8,775</t>
  </si>
  <si>
    <t>622,800 ± 5,257</t>
  </si>
  <si>
    <t>674,300 ± 19,237</t>
  </si>
  <si>
    <t>675,400 ± 9,662</t>
  </si>
  <si>
    <t>597,550 ± 122,550</t>
  </si>
  <si>
    <t>weak</t>
  </si>
  <si>
    <t>647 ± 57.728</t>
  </si>
  <si>
    <t>628,700 ± 14,438</t>
  </si>
  <si>
    <t>660,800 ± 6,073</t>
  </si>
  <si>
    <t>924,050 ± 239,450</t>
  </si>
  <si>
    <t>646,600 ± 58,639</t>
  </si>
  <si>
    <t>641,600 ± 17,722</t>
  </si>
  <si>
    <t>651,600 ± 9,316</t>
  </si>
  <si>
    <t>738,850 ± 38,450</t>
  </si>
  <si>
    <t>662,400 ± 47,295</t>
  </si>
  <si>
    <t>660,500 ± 17,285</t>
  </si>
  <si>
    <t>680,900 ± 16,138</t>
  </si>
  <si>
    <t>690,600 ± 11,062</t>
  </si>
  <si>
    <t>677,400 ± 32,852</t>
  </si>
  <si>
    <t>650,900 ± 14,690</t>
  </si>
  <si>
    <t>572,100 ± ND</t>
  </si>
  <si>
    <t>-0,774</t>
  </si>
  <si>
    <t>616,900 ± 46,220</t>
  </si>
  <si>
    <t>640,100 ± 7,465</t>
  </si>
  <si>
    <t>680,700 ± 10,183</t>
  </si>
  <si>
    <t>719,900 ± 18,500</t>
  </si>
  <si>
    <t>721,250 ± 52,050</t>
  </si>
  <si>
    <t>648,600 ± 38,600</t>
  </si>
  <si>
    <t>702,300 ± 17,800</t>
  </si>
  <si>
    <t>683,900 ± 16</t>
  </si>
  <si>
    <t>658,500 ± 9,500</t>
  </si>
  <si>
    <t>836,250 ± 172,95</t>
  </si>
  <si>
    <t>902,135 ± 65,935</t>
  </si>
  <si>
    <t>931,120 ± 40,65</t>
  </si>
  <si>
    <t>854,360 ± 20,679</t>
  </si>
  <si>
    <t>2091,730 ± 402</t>
  </si>
  <si>
    <t>766,860 ± ND</t>
  </si>
  <si>
    <t>808,190 ± 4,24</t>
  </si>
  <si>
    <t>830,145 ± 72,455</t>
  </si>
  <si>
    <t>2013,750 ± ND</t>
  </si>
  <si>
    <t>787,595 ± 32,775</t>
  </si>
  <si>
    <t>652,250 ± 11,222</t>
  </si>
  <si>
    <t>777,470 ± 5,950</t>
  </si>
  <si>
    <t>804,340 ± 86,28</t>
  </si>
  <si>
    <t>688,260 ± 24,414</t>
  </si>
  <si>
    <t>792,425 ± 11,935</t>
  </si>
  <si>
    <t>2164,470 ± ND</t>
  </si>
  <si>
    <t>754,205 ± 26,415</t>
  </si>
  <si>
    <t>763,375 ± 30,035</t>
  </si>
  <si>
    <t>766,040 ± 26,3957</t>
  </si>
  <si>
    <t>2709,305 ± 223,405</t>
  </si>
  <si>
    <t>851,760 ± ND</t>
  </si>
  <si>
    <t>767,470 ± 16,82</t>
  </si>
  <si>
    <t>751,080 ± 21,833</t>
  </si>
  <si>
    <t>2528,680 ± ND</t>
  </si>
  <si>
    <t>1841,010 ± ND</t>
  </si>
  <si>
    <t>1303,08 ± ND</t>
  </si>
  <si>
    <t>904,150 ± ND</t>
  </si>
  <si>
    <t>1395,300 ± 578,39</t>
  </si>
  <si>
    <t>859,585 ± 7,105</t>
  </si>
  <si>
    <t>980,235 ± 94,695</t>
  </si>
  <si>
    <t>PD-L1</t>
  </si>
  <si>
    <t>65,300 ± 7,784</t>
  </si>
  <si>
    <t>88,980 ± 8,137</t>
  </si>
  <si>
    <t>87,790 ± 1,792</t>
  </si>
  <si>
    <t>445,995 ± 345,025</t>
  </si>
  <si>
    <t>1140,880 ± 33,75</t>
  </si>
  <si>
    <t>91,820 ± 5,603</t>
  </si>
  <si>
    <t>79,130 ± 13,957</t>
  </si>
  <si>
    <t>1405,380 ± 1324,81</t>
  </si>
  <si>
    <t>107,690 ± 5,813</t>
  </si>
  <si>
    <t>84,110 ± 8,400</t>
  </si>
  <si>
    <t>77,250 ± 3,474</t>
  </si>
  <si>
    <t>137,250 ± 41,11</t>
  </si>
  <si>
    <t>70,780 ± 11,135</t>
  </si>
  <si>
    <t>66,535 ± 15,155</t>
  </si>
  <si>
    <t>73,810 ± 5,744</t>
  </si>
  <si>
    <t>278,915 ± 205,785</t>
  </si>
  <si>
    <t>0,447</t>
  </si>
  <si>
    <t>86,270 ± 5,709</t>
  </si>
  <si>
    <t>73,610 ± 7,042</t>
  </si>
  <si>
    <t>87,430 ± 13,820</t>
  </si>
  <si>
    <t>258,445 ± 141,205</t>
  </si>
  <si>
    <t>93,790 ± 12,193</t>
  </si>
  <si>
    <t>65,275 ± 22,005</t>
  </si>
  <si>
    <t>85,790 ± 2,011</t>
  </si>
  <si>
    <t>86,085 ± 30,075</t>
  </si>
  <si>
    <t>327,280 ± 158,6</t>
  </si>
  <si>
    <t>188,845 ± 120,995</t>
  </si>
  <si>
    <t>352,760 ± ND</t>
  </si>
  <si>
    <t>115,130 ± 52</t>
  </si>
  <si>
    <t>89,480 ± 10,84</t>
  </si>
  <si>
    <t>760,595 ± 672,215</t>
  </si>
  <si>
    <t>PD-1</t>
  </si>
  <si>
    <t>69,320 ± 23,271</t>
  </si>
  <si>
    <t>46,160 ± 8,106</t>
  </si>
  <si>
    <t>47,240 ± 0,680</t>
  </si>
  <si>
    <t>46,700 ±  2,780</t>
  </si>
  <si>
    <t>-0,288</t>
  </si>
  <si>
    <t>47,980 ± 18,189</t>
  </si>
  <si>
    <t>45,870 ± 1,389</t>
  </si>
  <si>
    <t>45,530 ± 9,592</t>
  </si>
  <si>
    <t>98,640 ± ND</t>
  </si>
  <si>
    <t>0,258</t>
  </si>
  <si>
    <t>45,190 ± 1,425</t>
  </si>
  <si>
    <t>45,660 ± 11,628</t>
  </si>
  <si>
    <t>47,420 ± 7,132</t>
  </si>
  <si>
    <t>43,965 ± 4,875</t>
  </si>
  <si>
    <t>46,870 ± 15,127</t>
  </si>
  <si>
    <t>43,50 ± 16,238</t>
  </si>
  <si>
    <t>46,250 ± 8,047</t>
  </si>
  <si>
    <t>38,950 ± ND</t>
  </si>
  <si>
    <t>44,990 ± 0,539</t>
  </si>
  <si>
    <t>69,570 ± 14,448</t>
  </si>
  <si>
    <t>47,050 ± 12,343</t>
  </si>
  <si>
    <t>60,790 ± 10,150</t>
  </si>
  <si>
    <t>44,710 ± 17,193</t>
  </si>
  <si>
    <t>45,820 ± 21,606</t>
  </si>
  <si>
    <t>44,810 ± 0,329</t>
  </si>
  <si>
    <t>48,950 ± 2,070</t>
  </si>
  <si>
    <t>52,445 ± 9,015</t>
  </si>
  <si>
    <t>74,180 ± 34,560</t>
  </si>
  <si>
    <t>42,775 ± 1,025</t>
  </si>
  <si>
    <t>53,995 ± 9,375</t>
  </si>
  <si>
    <t>45,230 ± 0,580</t>
  </si>
  <si>
    <t>41,850 ± 0,990</t>
  </si>
  <si>
    <t>PD-L2</t>
  </si>
  <si>
    <t>19,690 ± 4,373</t>
  </si>
  <si>
    <t>26,950 ± 2,900</t>
  </si>
  <si>
    <t>25,320 ± 1,811</t>
  </si>
  <si>
    <t>17,930 ± ND</t>
  </si>
  <si>
    <t>17,020 ± 0,792</t>
  </si>
  <si>
    <t>26,030 ± 3,605</t>
  </si>
  <si>
    <t>31,120 ± 4,803</t>
  </si>
  <si>
    <t>19,235 ± 0,665</t>
  </si>
  <si>
    <t>-0,866</t>
  </si>
  <si>
    <t>26,850 ± 3,719</t>
  </si>
  <si>
    <t>25,050 ± 2,572</t>
  </si>
  <si>
    <t>22,770 ± 2,143</t>
  </si>
  <si>
    <t>16,320 ± ND</t>
  </si>
  <si>
    <t>19,810 ± 2,785</t>
  </si>
  <si>
    <t>17,570 ± 3,514</t>
  </si>
  <si>
    <t>28,210 ± 3,368</t>
  </si>
  <si>
    <t>28,110 ± 4,480</t>
  </si>
  <si>
    <t>29,460 ± 0,118</t>
  </si>
  <si>
    <t>18,550 ± 3,611</t>
  </si>
  <si>
    <t>27,800 ± 3,778</t>
  </si>
  <si>
    <t>21,175 ± 0,355</t>
  </si>
  <si>
    <t>20,590 ± 1,337</t>
  </si>
  <si>
    <t>29,550 ± 3,778</t>
  </si>
  <si>
    <t>31,770 ± 0,750</t>
  </si>
  <si>
    <t>32,180 ± ND</t>
  </si>
  <si>
    <t>17,600 ± 0,900</t>
  </si>
  <si>
    <t>21,195 ± 1,365</t>
  </si>
  <si>
    <t>17,265 ± 0,495</t>
  </si>
  <si>
    <t>17,850 ± 1,300</t>
  </si>
  <si>
    <t>25,215 ± 1,315</t>
  </si>
  <si>
    <t>26,825 ± 0,145</t>
  </si>
  <si>
    <t>CTLA-4</t>
  </si>
  <si>
    <t>279,880 ± 6,134</t>
  </si>
  <si>
    <t>273,695 ± 2,415</t>
  </si>
  <si>
    <t>276,930 ± 1,899</t>
  </si>
  <si>
    <t>292,265 ± 5,475</t>
  </si>
  <si>
    <t>296,590 ± 15,486</t>
  </si>
  <si>
    <t>276,460 ± 3,900</t>
  </si>
  <si>
    <t>279,840 ± 34,324</t>
  </si>
  <si>
    <t>302,690 ± ND</t>
  </si>
  <si>
    <t>284,900 ± 4,191</t>
  </si>
  <si>
    <t>281,830 ± 17,088</t>
  </si>
  <si>
    <t>291,170 ± 20,632</t>
  </si>
  <si>
    <t>268,875 ± 10,885</t>
  </si>
  <si>
    <t>-0,577</t>
  </si>
  <si>
    <t>297,360 ± 10,610</t>
  </si>
  <si>
    <t>272,190 ± 4,853</t>
  </si>
  <si>
    <t>278,875 ± 1,905</t>
  </si>
  <si>
    <t>302,635 ± 1,725</t>
  </si>
  <si>
    <t>274,820 ± 1,115</t>
  </si>
  <si>
    <t>283,130 ± 6,745</t>
  </si>
  <si>
    <t>280,865 ± 0,475</t>
  </si>
  <si>
    <t>304,515 ± 12,605</t>
  </si>
  <si>
    <t>286,320 ± 18,987</t>
  </si>
  <si>
    <t>285,810 ± 62,297</t>
  </si>
  <si>
    <t>278,750 ± 1,910</t>
  </si>
  <si>
    <t>291,410 ± 11,570</t>
  </si>
  <si>
    <t>297,710 ± 35,410</t>
  </si>
  <si>
    <t>303,470 ± 30</t>
  </si>
  <si>
    <t>329,555 ± 9,405</t>
  </si>
  <si>
    <t>281,650 ± 12,860</t>
  </si>
  <si>
    <t>280,540 ± 0,040</t>
  </si>
  <si>
    <t>307,550 ± 27,900</t>
  </si>
  <si>
    <t>Tim-3</t>
  </si>
  <si>
    <t>214,960 ± 2,097</t>
  </si>
  <si>
    <t>254,890 ± 32,857</t>
  </si>
  <si>
    <t>253,810 ± 1,796</t>
  </si>
  <si>
    <t>580,220 ± 289,880</t>
  </si>
  <si>
    <t>494,620 ± 293,080</t>
  </si>
  <si>
    <t>256,145 ± 16,235</t>
  </si>
  <si>
    <t>255,530 ± 23,922</t>
  </si>
  <si>
    <t>214,275 ± 2,935</t>
  </si>
  <si>
    <t>253,630 ± 1,610</t>
  </si>
  <si>
    <t>241,280 ± 12,209</t>
  </si>
  <si>
    <t>273,710 ± 13,321</t>
  </si>
  <si>
    <t>420 ± ND</t>
  </si>
  <si>
    <t>247,390 ± 6,230</t>
  </si>
  <si>
    <t>206,950 ± 7,759</t>
  </si>
  <si>
    <t>249,070 ± 22,760</t>
  </si>
  <si>
    <t>210,335 ± 14,165</t>
  </si>
  <si>
    <t>240,990 ± 11,209</t>
  </si>
  <si>
    <t>207,910 ± 17,076</t>
  </si>
  <si>
    <t>235,390 ± 15,327</t>
  </si>
  <si>
    <t>225,205 ± 59,325</t>
  </si>
  <si>
    <t>268,935 ± 43,935</t>
  </si>
  <si>
    <t>237,510 ± 33,460</t>
  </si>
  <si>
    <t>260,430 ± 6,775</t>
  </si>
  <si>
    <t>438,280 ± 95,390</t>
  </si>
  <si>
    <t>661,635 ± 444,945</t>
  </si>
  <si>
    <t>204,475 ± 11,655</t>
  </si>
  <si>
    <t>513,535 ± 297,695</t>
  </si>
  <si>
    <t>292,565 ± 71,745</t>
  </si>
  <si>
    <t>299,260 ± 39,320</t>
  </si>
  <si>
    <t>371,915 ± 37,025</t>
  </si>
  <si>
    <t>Galectin-9</t>
  </si>
  <si>
    <t>254,900 ± ND</t>
  </si>
  <si>
    <t>218,900 ± ND</t>
  </si>
  <si>
    <t>201,300 ± ND</t>
  </si>
  <si>
    <t>-1</t>
  </si>
  <si>
    <t>201,400 ± 3,600</t>
  </si>
  <si>
    <t>241,900 ± ND</t>
  </si>
  <si>
    <t>197,600 ± ND</t>
  </si>
  <si>
    <t>722,400 ± ND</t>
  </si>
  <si>
    <t>197,200 ± ND</t>
  </si>
  <si>
    <t>195,600 ± ND</t>
  </si>
  <si>
    <t>212,700 ± ND</t>
  </si>
  <si>
    <t>528,350 ± 311,750</t>
  </si>
  <si>
    <t>217,300 ± ND</t>
  </si>
  <si>
    <t>201,550 ± 5,550</t>
  </si>
  <si>
    <t>262,200 ± 31</t>
  </si>
  <si>
    <t>207,600 ± ND</t>
  </si>
  <si>
    <t>445,400 ± 232</t>
  </si>
  <si>
    <t>213,550 ± 13,350</t>
  </si>
  <si>
    <t>514,200 ± ND</t>
  </si>
  <si>
    <t>203,750 ± 26,550</t>
  </si>
  <si>
    <t>200,950 ± 15,650</t>
  </si>
  <si>
    <t>223,900 ± ND</t>
  </si>
  <si>
    <t>237,500 ± ND</t>
  </si>
  <si>
    <t>208,200 ± ND</t>
  </si>
  <si>
    <t>sCD27</t>
  </si>
  <si>
    <t>207 ± 21,180</t>
  </si>
  <si>
    <t>359,800 ± ND</t>
  </si>
  <si>
    <t>739 ± ND</t>
  </si>
  <si>
    <t>490,500 ± 274,200</t>
  </si>
  <si>
    <t>237,200 ± 13,200</t>
  </si>
  <si>
    <t>218,300 ± 14</t>
  </si>
  <si>
    <t>396,500 ± ND</t>
  </si>
  <si>
    <t>163,500 ± ND</t>
  </si>
  <si>
    <t>165,600 ± ND</t>
  </si>
  <si>
    <t>174,300 ± ND</t>
  </si>
  <si>
    <t>Free Active</t>
  </si>
  <si>
    <t>223,640 ± 30,473</t>
  </si>
  <si>
    <t>171,240 ± ND</t>
  </si>
  <si>
    <t>156,930 ± ND</t>
  </si>
  <si>
    <t>162,840 ± 6,500</t>
  </si>
  <si>
    <t>262,720 ± ND</t>
  </si>
  <si>
    <t>161,130 ± ND</t>
  </si>
  <si>
    <t>140,030 ± ND</t>
  </si>
  <si>
    <t>180,110 ± 5,590</t>
  </si>
  <si>
    <t>147,060 ± ND</t>
  </si>
  <si>
    <t>169,105 ± 58,855</t>
  </si>
  <si>
    <t>150,300 ± ND</t>
  </si>
  <si>
    <t>178,430 ± 51,270</t>
  </si>
  <si>
    <t>161,405 ± 22,965</t>
  </si>
  <si>
    <t>100,320 ± ND</t>
  </si>
  <si>
    <t>232,440 ± ND</t>
  </si>
  <si>
    <t>188,200 ± ND</t>
  </si>
  <si>
    <t>137,520 ± ND</t>
  </si>
  <si>
    <t>181,365 ± 50,055</t>
  </si>
  <si>
    <t>128,650 ± ND</t>
  </si>
  <si>
    <t>138,550 ± 50,080</t>
  </si>
  <si>
    <t>6 h</t>
  </si>
  <si>
    <t>36 h (SC)</t>
  </si>
  <si>
    <t>36 h (UC)</t>
  </si>
  <si>
    <t>TNF-α</t>
  </si>
  <si>
    <t>4,970 ± 2,552</t>
  </si>
  <si>
    <t>17,180 ± 14,890</t>
  </si>
  <si>
    <t>3,850 ± 1,683</t>
  </si>
  <si>
    <t>21,740 ± 11,811</t>
  </si>
  <si>
    <t>2,710 ± 2,370</t>
  </si>
  <si>
    <t>6,460 ± 3,270</t>
  </si>
  <si>
    <t>3,480 ± 2,905</t>
  </si>
  <si>
    <t>12,810 ± 4,870</t>
  </si>
  <si>
    <t>3,360 ± 3,811</t>
  </si>
  <si>
    <t>5,815 ± 0,275</t>
  </si>
  <si>
    <t>3,910 ± 0,932</t>
  </si>
  <si>
    <t>7,010 ± 0,328</t>
  </si>
  <si>
    <t>6,450 ± 4,039</t>
  </si>
  <si>
    <t>8,780 ± 3,652</t>
  </si>
  <si>
    <t>9,440 ± 2,397</t>
  </si>
  <si>
    <t>8,090 ± 1,454</t>
  </si>
  <si>
    <t>9,180 ± 1,698</t>
  </si>
  <si>
    <t>9,290 ± 2,614</t>
  </si>
  <si>
    <t>8,130 ± 2,391</t>
  </si>
  <si>
    <t>6,010 ± 0,703</t>
  </si>
  <si>
    <t>5,750 ± 10,364</t>
  </si>
  <si>
    <t>8,570 ± 2,725</t>
  </si>
  <si>
    <t>11,250 ± 9,690</t>
  </si>
  <si>
    <t>6,590 ± 0,780</t>
  </si>
  <si>
    <t>8,255 ± 2,125</t>
  </si>
  <si>
    <t>8,320 ± 2,980</t>
  </si>
  <si>
    <t>18,085 ± 0,325</t>
  </si>
  <si>
    <t>6,380 ± 4,030</t>
  </si>
  <si>
    <t>10,070 ± 1,060</t>
  </si>
  <si>
    <t>8,970 ± 0,310</t>
  </si>
  <si>
    <t>IFN-γ</t>
  </si>
  <si>
    <t>78,115 ± 34,245</t>
  </si>
  <si>
    <t>10,250 ± ND</t>
  </si>
  <si>
    <t>13,420 ± 9,615</t>
  </si>
  <si>
    <t>32,260 ± 13,410</t>
  </si>
  <si>
    <t>62,720 ± 18,674</t>
  </si>
  <si>
    <t>73,170 ± 13</t>
  </si>
  <si>
    <t>33,740 ± 11,536</t>
  </si>
  <si>
    <t>41,160 ± 19,490</t>
  </si>
  <si>
    <t>102,480 ± 43,805</t>
  </si>
  <si>
    <t>28,325 ± 23,405</t>
  </si>
  <si>
    <t>75,100 ± 25,731</t>
  </si>
  <si>
    <t>14,920 ± 9,145</t>
  </si>
  <si>
    <t>33,650 ± 37,606</t>
  </si>
  <si>
    <t>71,790 ± ND</t>
  </si>
  <si>
    <t>12,730 ± 5,267</t>
  </si>
  <si>
    <t>18,380 ± 5,818</t>
  </si>
  <si>
    <t>28,780 ± 33,713</t>
  </si>
  <si>
    <t>9,200 ± 11,930</t>
  </si>
  <si>
    <t>19,200 ± 4,605</t>
  </si>
  <si>
    <t>30,590 ± 2,191</t>
  </si>
  <si>
    <t>19,030 ± 5,960</t>
  </si>
  <si>
    <t>53,620 ± 21,102</t>
  </si>
  <si>
    <t>48,570 ± 22,522</t>
  </si>
  <si>
    <t>7,920 ± 0,710</t>
  </si>
  <si>
    <t>11,495 ± 0,125</t>
  </si>
  <si>
    <t>36,710 ± ND</t>
  </si>
  <si>
    <t>37,545 ± 10,665</t>
  </si>
  <si>
    <t>21,300 ± 0,47</t>
  </si>
  <si>
    <t>7,655 ± 2,235</t>
  </si>
  <si>
    <t>IL-10</t>
  </si>
  <si>
    <t>169,210 ± ND</t>
  </si>
  <si>
    <t>174,140 ± 0,490</t>
  </si>
  <si>
    <t>196,985 ± 8,705</t>
  </si>
  <si>
    <t>184,130 ± 3,480</t>
  </si>
  <si>
    <t>193,930 ± 19,700</t>
  </si>
  <si>
    <t>165,110 ± ND</t>
  </si>
  <si>
    <t>182,920 ± ND</t>
  </si>
  <si>
    <t>181,690 ± 3,800</t>
  </si>
  <si>
    <t>183,690 ± 10,980</t>
  </si>
  <si>
    <t>183,430 ± 3,800</t>
  </si>
  <si>
    <t>187,480 ± 11,370</t>
  </si>
  <si>
    <t>186,780 ± 7,661</t>
  </si>
  <si>
    <t>185,430 ± ND</t>
  </si>
  <si>
    <t>167,090 ± ND</t>
  </si>
  <si>
    <t>192,755 ± 14,665</t>
  </si>
  <si>
    <t>169,365 ± 11,775</t>
  </si>
  <si>
    <t>184,710 ± 2,656</t>
  </si>
  <si>
    <t>184,940 ± ND</t>
  </si>
  <si>
    <t>183,010 ± 5,200</t>
  </si>
  <si>
    <t>169,510 ± 6,550</t>
  </si>
  <si>
    <t>175,540 ± ND</t>
  </si>
  <si>
    <t>187,645 ± 2,095</t>
  </si>
  <si>
    <t>179,390 ± ND</t>
  </si>
  <si>
    <t>165,530 ± ND</t>
  </si>
  <si>
    <t>189 ± 0,930</t>
  </si>
  <si>
    <t>IL-8</t>
  </si>
  <si>
    <t>7,050 ± ND</t>
  </si>
  <si>
    <t>7,940 ±  ND</t>
  </si>
  <si>
    <t>5,610 ± 1,840</t>
  </si>
  <si>
    <t>4,660 ± ND</t>
  </si>
  <si>
    <t>2,570 ± 0,570</t>
  </si>
  <si>
    <t>6,570 ± 5,780</t>
  </si>
  <si>
    <t>0,820 ± ND</t>
  </si>
  <si>
    <t>4,220 ± 5,086</t>
  </si>
  <si>
    <t>37,170 ± 14,461</t>
  </si>
  <si>
    <t>6,360 ± 3,510</t>
  </si>
  <si>
    <t>2,715 ± 0,625</t>
  </si>
  <si>
    <t>5,270 ± 6,626</t>
  </si>
  <si>
    <t>17,070 ± ND</t>
  </si>
  <si>
    <t>2,510 ± 0,578</t>
  </si>
  <si>
    <t>3,670 ± ND</t>
  </si>
  <si>
    <t>4,250 ± ND</t>
  </si>
  <si>
    <t>6,600 ± ND</t>
  </si>
  <si>
    <t>14,015 ± 12,455</t>
  </si>
  <si>
    <t>5,620 ± ND</t>
  </si>
  <si>
    <t>10,030 ± 3,101</t>
  </si>
  <si>
    <t>0,920 ± 0,560</t>
  </si>
  <si>
    <t>5,395 ± 3,045</t>
  </si>
  <si>
    <t>4,580 ± 0,310</t>
  </si>
  <si>
    <t>6,130 ± ND</t>
  </si>
  <si>
    <t>14,090 ± ND</t>
  </si>
  <si>
    <t>2,570 ± ND</t>
  </si>
  <si>
    <t>IFN-α2</t>
  </si>
  <si>
    <t>246,895 ± 223,435</t>
  </si>
  <si>
    <t>23,695 ± 1,215</t>
  </si>
  <si>
    <t>28,625 ± 15,305</t>
  </si>
  <si>
    <t>42,915 ± 1,425</t>
  </si>
  <si>
    <t>31,250 ± ND</t>
  </si>
  <si>
    <t>22,615 ± 8,115</t>
  </si>
  <si>
    <t>44,120 ± 9,690</t>
  </si>
  <si>
    <t>42,390 ± 0,310</t>
  </si>
  <si>
    <t>19,350 ± 11,200</t>
  </si>
  <si>
    <t>4,640 ± ND</t>
  </si>
  <si>
    <t>17,010 ± ND</t>
  </si>
  <si>
    <t>51,140 ± 22,100</t>
  </si>
  <si>
    <t>12,710 ± 0,670</t>
  </si>
  <si>
    <t>20,100 ± 1,740</t>
  </si>
  <si>
    <t>21,920 ± 9,160</t>
  </si>
  <si>
    <t>16,150 ± 8,610</t>
  </si>
  <si>
    <t>21,150 ± 0,200</t>
  </si>
  <si>
    <t>27,810 ± ND</t>
  </si>
  <si>
    <t>25,390 ± 0,040</t>
  </si>
  <si>
    <t>MCP-1</t>
  </si>
  <si>
    <t>208,140 ± ND</t>
  </si>
  <si>
    <t>212,980 ± ND</t>
  </si>
  <si>
    <t>155,560 ± ND</t>
  </si>
  <si>
    <t>145,910 ± ND</t>
  </si>
  <si>
    <t>67,080 ± 3,398</t>
  </si>
  <si>
    <t>57,030 ± 20,400</t>
  </si>
  <si>
    <t>65,030 ± 20,328</t>
  </si>
  <si>
    <t>29,230 ± ND</t>
  </si>
  <si>
    <t>340,260 ± 251,610</t>
  </si>
  <si>
    <t>92,295 ± 8,775</t>
  </si>
  <si>
    <t>62,470 ± 10,160</t>
  </si>
  <si>
    <t>63,950 ± ND</t>
  </si>
  <si>
    <t>60,465 ± 6,915</t>
  </si>
  <si>
    <t>163,220 ± 53,220</t>
  </si>
  <si>
    <t>61,870 ± 17,420</t>
  </si>
  <si>
    <t>110,975 ± 30,875</t>
  </si>
  <si>
    <t>83,600 ± ND</t>
  </si>
  <si>
    <t>59,355 ± 5,245</t>
  </si>
  <si>
    <t>129,830 ± ND</t>
  </si>
  <si>
    <t>36,500 ± 18,150</t>
  </si>
  <si>
    <t>96,540 ± 44,827</t>
  </si>
  <si>
    <t>150,900 ± ND</t>
  </si>
  <si>
    <t>78,970 ± ND</t>
  </si>
  <si>
    <t>58,900 ± ND</t>
  </si>
  <si>
    <t>359,025 ± 94,565</t>
  </si>
  <si>
    <t>80,700 ± 0,710</t>
  </si>
  <si>
    <t>40,060 ± ND</t>
  </si>
  <si>
    <t>304,500 ± ND</t>
  </si>
  <si>
    <t>IL-6</t>
  </si>
  <si>
    <t>25,850 ± ND</t>
  </si>
  <si>
    <t>103,385 ± 66,895</t>
  </si>
  <si>
    <t>40,830 ± 26,241</t>
  </si>
  <si>
    <t>6,345 ± 3,485</t>
  </si>
  <si>
    <t>218,280 ± ND</t>
  </si>
  <si>
    <t>5,915 ± 3,125</t>
  </si>
  <si>
    <t>41,050 ± 37,150</t>
  </si>
  <si>
    <t>121,210 ± 71,984</t>
  </si>
  <si>
    <t>11 ± 1,870</t>
  </si>
  <si>
    <t>1,140 ± ND</t>
  </si>
  <si>
    <t>147,255 ± 137,305</t>
  </si>
  <si>
    <t>4,760 ± 20,545</t>
  </si>
  <si>
    <t>285,900 ± ND</t>
  </si>
  <si>
    <t>40,520 ± ND</t>
  </si>
  <si>
    <t>7,310 ± 7,531</t>
  </si>
  <si>
    <t>119,285 ± 86,885</t>
  </si>
  <si>
    <t>7,910 ± ND</t>
  </si>
  <si>
    <t>6,750 ± 1,930</t>
  </si>
  <si>
    <t>86,430 ± 65,950</t>
  </si>
  <si>
    <t>21,920 ± ND</t>
  </si>
  <si>
    <t>49,480 ± ND</t>
  </si>
  <si>
    <t>2,300 ± ND</t>
  </si>
  <si>
    <t>17,375 ± 0,615</t>
  </si>
  <si>
    <t>IL-1β</t>
  </si>
  <si>
    <t>42,220 ± 1,447</t>
  </si>
  <si>
    <t>39,440 ± ND</t>
  </si>
  <si>
    <t>35,640 ± ND</t>
  </si>
  <si>
    <t>39,350 ± ND</t>
  </si>
  <si>
    <t>41,005 ± 0,915</t>
  </si>
  <si>
    <t>41,660 ± 1,366</t>
  </si>
  <si>
    <t>42,810 ± ND</t>
  </si>
  <si>
    <t>37,820 ± ND</t>
  </si>
  <si>
    <t>40,215 ± 0,435</t>
  </si>
  <si>
    <t>41,580 ± 6,270</t>
  </si>
  <si>
    <t>53,130 ± ND</t>
  </si>
  <si>
    <t>37,500 ± ND</t>
  </si>
  <si>
    <t>39,920 ± 0,730</t>
  </si>
  <si>
    <t>40,840 ± ND</t>
  </si>
  <si>
    <t>34,130 ± ND</t>
  </si>
  <si>
    <t>44,350 ± 2,250</t>
  </si>
  <si>
    <t>45,720 ± ND</t>
  </si>
  <si>
    <t>42,770 ± ND</t>
  </si>
  <si>
    <t>41,240 ± 3,740</t>
  </si>
  <si>
    <t>41,230 ± 0,830</t>
  </si>
  <si>
    <t>39,710 ± 3,200</t>
  </si>
  <si>
    <t>43,130 ± ND</t>
  </si>
  <si>
    <t>47,130 ± ND</t>
  </si>
  <si>
    <t>44,950 ± 0,180</t>
  </si>
  <si>
    <t>45,455 ± 0,255</t>
  </si>
  <si>
    <t>IL-12p70</t>
  </si>
  <si>
    <t>52,940 ± 8,640</t>
  </si>
  <si>
    <t>43,220 ± ND</t>
  </si>
  <si>
    <t>57,145 ± 2,805</t>
  </si>
  <si>
    <t>49,710 ± ND</t>
  </si>
  <si>
    <t>43,720 ± ND</t>
  </si>
  <si>
    <t>42,010 ± ND</t>
  </si>
  <si>
    <t>54,750 ± ND</t>
  </si>
  <si>
    <t>40,030 ± 4,400</t>
  </si>
  <si>
    <t>43,450 ± ND</t>
  </si>
  <si>
    <t>45,480 ± ND</t>
  </si>
  <si>
    <t>36,730 ± ND</t>
  </si>
  <si>
    <t>51,890 ± ND</t>
  </si>
  <si>
    <t>43,460 ± ND</t>
  </si>
  <si>
    <t>57,070 ± ND</t>
  </si>
  <si>
    <t>52,720 ± 3,490</t>
  </si>
  <si>
    <t>45,060 ± 3,330</t>
  </si>
  <si>
    <t>41,300 ± 6,330</t>
  </si>
  <si>
    <t>43,470 ± ND</t>
  </si>
  <si>
    <t>45,470 ± ND</t>
  </si>
  <si>
    <t>33,960 ± ND</t>
  </si>
  <si>
    <t>55,420 ± ND</t>
  </si>
  <si>
    <t>43,720 ± 0,870</t>
  </si>
  <si>
    <t>45,510 ± 0,320</t>
  </si>
  <si>
    <t>44,225 ± 0,465</t>
  </si>
  <si>
    <t>IL-18</t>
  </si>
  <si>
    <t>4,590 ± 0,097</t>
  </si>
  <si>
    <t>4,700 ± 0,160</t>
  </si>
  <si>
    <t>3,805 ± 0,065</t>
  </si>
  <si>
    <t>4,300 ± ND</t>
  </si>
  <si>
    <t>4,400 ± 0,218</t>
  </si>
  <si>
    <t>4,450 ± 0,260</t>
  </si>
  <si>
    <t>4,580 ± ND</t>
  </si>
  <si>
    <t>3,870 ± ND</t>
  </si>
  <si>
    <t>4,865 ± 0,575</t>
  </si>
  <si>
    <t>4,230 ± 0,060</t>
  </si>
  <si>
    <t>4,935 ± 0,825</t>
  </si>
  <si>
    <t>4,520 ± 0,154</t>
  </si>
  <si>
    <t>4,620 ± ND</t>
  </si>
  <si>
    <t>4,340 ± 0,130</t>
  </si>
  <si>
    <t>4,160 ± ND</t>
  </si>
  <si>
    <t>4,335 ± 0,225</t>
  </si>
  <si>
    <t>5,270 ± 0,418</t>
  </si>
  <si>
    <t>4,015 ± 0,095</t>
  </si>
  <si>
    <t>4,310 ± 0,185</t>
  </si>
  <si>
    <t>3,940 ± ND</t>
  </si>
  <si>
    <t>5,950 ± ND</t>
  </si>
  <si>
    <t>4,450 ± 0,080</t>
  </si>
  <si>
    <t>5,020 ± ND</t>
  </si>
  <si>
    <t>4,820 ± 0,020</t>
  </si>
  <si>
    <t>IL-23</t>
  </si>
  <si>
    <t>74,740 ± 40,732</t>
  </si>
  <si>
    <t>15,120 ± ND</t>
  </si>
  <si>
    <t>71,670 ± ND</t>
  </si>
  <si>
    <t>44,630 ± 26,895</t>
  </si>
  <si>
    <t>44,200 ± 18,110</t>
  </si>
  <si>
    <t>58,925 ± 6,855</t>
  </si>
  <si>
    <t>70,630 ± 33,315</t>
  </si>
  <si>
    <t>65,410 ± 21,738</t>
  </si>
  <si>
    <t>36,840 ± 10,850</t>
  </si>
  <si>
    <t>107,270 ± ND</t>
  </si>
  <si>
    <t>20,450 ± 4,720</t>
  </si>
  <si>
    <t>43,940 ± ND</t>
  </si>
  <si>
    <t>54,370 ± ND</t>
  </si>
  <si>
    <t>74,270 ± ND</t>
  </si>
  <si>
    <t>57,340 ± 20,977</t>
  </si>
  <si>
    <t>115,230 ± ND</t>
  </si>
  <si>
    <t>41,510 ± ND</t>
  </si>
  <si>
    <t>27,680 ± ND</t>
  </si>
  <si>
    <t>33,135 ± 16,075</t>
  </si>
  <si>
    <t>21,230 ± 19,650</t>
  </si>
  <si>
    <t>63,055 ± 34,645</t>
  </si>
  <si>
    <t>109,655 ± 93,165</t>
  </si>
  <si>
    <t>108,900 ± ND</t>
  </si>
  <si>
    <t>21,720 ± 0,640</t>
  </si>
  <si>
    <t>53,850 ± ND</t>
  </si>
  <si>
    <t>24,830 ± 1,710</t>
  </si>
  <si>
    <t>IL-33</t>
  </si>
  <si>
    <t>506,730 ± 4,651</t>
  </si>
  <si>
    <t>506,370 ± ND</t>
  </si>
  <si>
    <t>552,450 ± ND</t>
  </si>
  <si>
    <t>514,050 ± ND</t>
  </si>
  <si>
    <t>510,250 ± 3,689</t>
  </si>
  <si>
    <t>504,030 ± 1,931</t>
  </si>
  <si>
    <t>507,940 ± 7,448</t>
  </si>
  <si>
    <t>519,790 ± ND</t>
  </si>
  <si>
    <t>506,260 ± 10,041</t>
  </si>
  <si>
    <t>506 ± 1,485</t>
  </si>
  <si>
    <t>504,830 ± 0,978</t>
  </si>
  <si>
    <t>510,790 ± ND</t>
  </si>
  <si>
    <t>502,920 ± 1,391</t>
  </si>
  <si>
    <t>506,900 ± ND</t>
  </si>
  <si>
    <t>512,940 ± 3,300</t>
  </si>
  <si>
    <t>522,340 ± ND</t>
  </si>
  <si>
    <t>509,800 ± 1,460</t>
  </si>
  <si>
    <t>509,680 ± ND</t>
  </si>
  <si>
    <t>500,870 ± 0,190</t>
  </si>
  <si>
    <t>490,480 ± ND</t>
  </si>
  <si>
    <t>502,750 ± 2,665</t>
  </si>
  <si>
    <t>510,230 ± 3,129</t>
  </si>
  <si>
    <t>482,620 ± ND</t>
  </si>
  <si>
    <t>496,680 ± 4,160</t>
  </si>
  <si>
    <t>501,690 ± ND</t>
  </si>
  <si>
    <t>486,830 ± 3,400</t>
  </si>
  <si>
    <t>503,920 ± 0,460</t>
  </si>
  <si>
    <t>493,370 ± 6,810</t>
  </si>
  <si>
    <t>499,220 ± ND</t>
  </si>
  <si>
    <t>504,885 ± 0,345</t>
  </si>
  <si>
    <t>IL-17A</t>
  </si>
  <si>
    <t>963,644 ± ND</t>
  </si>
  <si>
    <t>830,993 ± ND</t>
  </si>
  <si>
    <t>979,119 ± ND</t>
  </si>
  <si>
    <t>936,888 ± 18.982</t>
  </si>
  <si>
    <t>921,572 ± ND</t>
  </si>
  <si>
    <t>957,277 ± ND</t>
  </si>
  <si>
    <t>893,342 ± ND</t>
  </si>
  <si>
    <t>996,860 ± ND</t>
  </si>
  <si>
    <t>886,397 ± ND</t>
  </si>
  <si>
    <t>928,614 ± 37,135</t>
  </si>
  <si>
    <t>899,724 ± 38,601</t>
  </si>
  <si>
    <t>912,420 ± 71,001</t>
  </si>
  <si>
    <t>897,946 ± ND</t>
  </si>
  <si>
    <t>909,555 ± 47,119</t>
  </si>
  <si>
    <t>962,351 ± ND</t>
  </si>
  <si>
    <t>852,463 ± 31,711</t>
  </si>
  <si>
    <t>880,045 ± ND</t>
  </si>
  <si>
    <t>955,116 ± ND</t>
  </si>
  <si>
    <t>922,803 ± 11,007</t>
  </si>
  <si>
    <t>948,011 ± 24,478</t>
  </si>
  <si>
    <t>903,157 ± ND</t>
  </si>
  <si>
    <t>798,307 ± ND</t>
  </si>
  <si>
    <t>995,898 ± ND</t>
  </si>
  <si>
    <t>882,524 ± ND</t>
  </si>
  <si>
    <t>901,359 ± 44,776</t>
  </si>
  <si>
    <t>FC vs HC</t>
  </si>
  <si>
    <t>ND</t>
  </si>
  <si>
    <t>rho = 1</t>
  </si>
  <si>
    <t>rho = - 1</t>
  </si>
  <si>
    <t>B7.2 (CD86)</t>
  </si>
  <si>
    <t>PD-1, CTLA-4</t>
  </si>
  <si>
    <t>PD-L2, Tim-3, B7.2 (CD86)</t>
  </si>
  <si>
    <t>B7.2 (CD86), Tim-3</t>
  </si>
  <si>
    <t>PD-1, PD-L2, CTLA-4</t>
  </si>
  <si>
    <t>PD-L1, Tim-3</t>
  </si>
  <si>
    <t>PD-L2, CTLA-4</t>
  </si>
  <si>
    <t>Tim-3, sCD27</t>
  </si>
  <si>
    <t>PD-L1, PD-L2</t>
  </si>
  <si>
    <t>PD-L1, PD-L2, Tim-3</t>
  </si>
  <si>
    <t>PD-1, PD-L2</t>
  </si>
  <si>
    <t>PD-L2, Tim-3</t>
  </si>
  <si>
    <t>CTLA-4, Galectin-9</t>
  </si>
  <si>
    <t>36 UC</t>
  </si>
  <si>
    <t>36 SC</t>
  </si>
  <si>
    <t>IL-6, IL-17A</t>
  </si>
  <si>
    <t>IL-10, IL-8, MCP-1</t>
  </si>
  <si>
    <t>MCP-1, IL-33</t>
  </si>
  <si>
    <t>IL-8, MCP-1</t>
  </si>
  <si>
    <t>IL-6, IL-18, IL-23</t>
  </si>
  <si>
    <t>IL-18, IL-23</t>
  </si>
  <si>
    <t>log2FC</t>
  </si>
  <si>
    <t>Percentage change</t>
  </si>
  <si>
    <t>Absolute difference</t>
  </si>
  <si>
    <t>Symmetric difference</t>
  </si>
  <si>
    <t>LAG-3</t>
  </si>
  <si>
    <t>sCD25 (IL-2Rα)</t>
  </si>
  <si>
    <t>LAG-3, PD-1</t>
  </si>
  <si>
    <t>LAG-3, PD-L1</t>
  </si>
  <si>
    <t>PD-1, CTLA-4,</t>
  </si>
  <si>
    <t>LAG-3, sCD25 (IL-2Rα), PD-L1, Tim-3</t>
  </si>
  <si>
    <t>sCD25 (IL-2Rα), PD-L1, Tim-3</t>
  </si>
  <si>
    <t>sCD25 (IL-2Rα), PD-1, CTLA-4</t>
  </si>
  <si>
    <t>n =</t>
  </si>
  <si>
    <t>IFN-γ, IL-33</t>
  </si>
  <si>
    <t>IFN-γ, IL-6, IL-17A</t>
  </si>
  <si>
    <t>IFN-γ, IL-18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</si>
</sst>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C9DAF8"/>
      </patternFill>
    </fill>
    <fill>
      <patternFill patternType="solid">
        <fgColor rgb="FF00FF00"/>
      </patternFill>
    </fill>
    <fill>
      <patternFill patternType="solid">
        <fgColor rgb="FFFFFF00"/>
      </patternFill>
    </fill>
    <fill>
      <patternFill patternType="solid">
        <fgColor rgb="FF00FF00"/>
        <bgColor rgb="FF00FF00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49" fontId="1" fillId="0" borderId="0" xfId="1" applyNumberFormat="1" applyFont="1" applyAlignment="1">
      <alignment horizontal="left"/>
    </xf>
    <xf numFmtId="49" fontId="3" fillId="0" borderId="1" xfId="1" applyNumberFormat="1" applyFont="1" applyBorder="1" applyAlignment="1">
      <alignment horizontal="left"/>
    </xf>
    <xf numFmtId="49" fontId="3" fillId="0" borderId="0" xfId="1" applyNumberFormat="1" applyFont="1" applyAlignment="1">
      <alignment horizontal="left"/>
    </xf>
    <xf numFmtId="0" fontId="1" fillId="0" borderId="0" xfId="1" applyFont="1" applyAlignment="1">
      <alignment horizontal="left"/>
    </xf>
    <xf numFmtId="49" fontId="3" fillId="0" borderId="3" xfId="1" applyNumberFormat="1" applyFont="1" applyBorder="1" applyAlignment="1">
      <alignment horizontal="left"/>
    </xf>
    <xf numFmtId="49" fontId="3" fillId="0" borderId="0" xfId="1" applyNumberFormat="1" applyFont="1" applyBorder="1" applyAlignment="1">
      <alignment horizontal="left"/>
    </xf>
    <xf numFmtId="49" fontId="1" fillId="0" borderId="3" xfId="1" applyNumberFormat="1" applyFont="1" applyBorder="1" applyAlignment="1">
      <alignment horizontal="left"/>
    </xf>
    <xf numFmtId="49" fontId="3" fillId="2" borderId="0" xfId="1" applyNumberFormat="1" applyFont="1" applyFill="1" applyAlignment="1">
      <alignment horizontal="left"/>
    </xf>
    <xf numFmtId="49" fontId="0" fillId="0" borderId="0" xfId="1" applyNumberFormat="1" applyFont="1" applyAlignment="1">
      <alignment horizontal="left"/>
    </xf>
    <xf numFmtId="49" fontId="3" fillId="3" borderId="0" xfId="1" applyNumberFormat="1" applyFont="1" applyFill="1" applyAlignment="1">
      <alignment horizontal="left"/>
    </xf>
    <xf numFmtId="49" fontId="5" fillId="0" borderId="0" xfId="1" applyNumberFormat="1" applyFont="1" applyAlignment="1">
      <alignment horizontal="left"/>
    </xf>
    <xf numFmtId="49" fontId="5" fillId="3" borderId="0" xfId="1" applyNumberFormat="1" applyFont="1" applyFill="1" applyAlignment="1">
      <alignment horizontal="left"/>
    </xf>
    <xf numFmtId="49" fontId="3" fillId="4" borderId="0" xfId="1" applyNumberFormat="1" applyFont="1" applyFill="1" applyAlignment="1">
      <alignment horizontal="left"/>
    </xf>
    <xf numFmtId="49" fontId="5" fillId="5" borderId="0" xfId="1" applyNumberFormat="1" applyFont="1" applyFill="1" applyAlignment="1">
      <alignment horizontal="left"/>
    </xf>
    <xf numFmtId="49" fontId="3" fillId="5" borderId="0" xfId="1" applyNumberFormat="1" applyFont="1" applyFill="1" applyAlignment="1">
      <alignment horizontal="left"/>
    </xf>
    <xf numFmtId="0" fontId="3" fillId="0" borderId="0" xfId="1" applyFont="1" applyAlignment="1"/>
    <xf numFmtId="49" fontId="5" fillId="0" borderId="0" xfId="1" applyNumberFormat="1" applyFont="1" applyAlignment="1"/>
    <xf numFmtId="49" fontId="3" fillId="0" borderId="0" xfId="1" applyNumberFormat="1" applyFont="1" applyAlignment="1"/>
    <xf numFmtId="49" fontId="3" fillId="6" borderId="0" xfId="1" applyNumberFormat="1" applyFont="1" applyFill="1" applyAlignment="1">
      <alignment horizontal="left"/>
    </xf>
    <xf numFmtId="49" fontId="1" fillId="2" borderId="0" xfId="1" applyNumberFormat="1" applyFont="1" applyFill="1" applyAlignment="1">
      <alignment horizontal="left"/>
    </xf>
    <xf numFmtId="49" fontId="6" fillId="0" borderId="0" xfId="1" applyNumberFormat="1" applyFont="1" applyAlignment="1"/>
    <xf numFmtId="49" fontId="1" fillId="3" borderId="0" xfId="1" applyNumberFormat="1" applyFont="1" applyFill="1" applyAlignment="1">
      <alignment horizontal="left"/>
    </xf>
    <xf numFmtId="49" fontId="3" fillId="7" borderId="0" xfId="1" applyNumberFormat="1" applyFont="1" applyFill="1" applyAlignment="1">
      <alignment horizontal="left"/>
    </xf>
    <xf numFmtId="49" fontId="1" fillId="7" borderId="0" xfId="1" applyNumberFormat="1" applyFont="1" applyFill="1" applyAlignment="1">
      <alignment horizontal="left"/>
    </xf>
    <xf numFmtId="49" fontId="0" fillId="7" borderId="0" xfId="1" applyNumberFormat="1" applyFont="1" applyFill="1" applyAlignment="1">
      <alignment horizontal="left"/>
    </xf>
    <xf numFmtId="49" fontId="2" fillId="7" borderId="0" xfId="1" applyNumberFormat="1" applyFont="1" applyFill="1" applyAlignment="1">
      <alignment horizontal="left"/>
    </xf>
    <xf numFmtId="49" fontId="1" fillId="4" borderId="0" xfId="1" applyNumberFormat="1" applyFont="1" applyFill="1" applyAlignment="1">
      <alignment horizontal="left"/>
    </xf>
    <xf numFmtId="49" fontId="7" fillId="7" borderId="0" xfId="1" applyNumberFormat="1" applyFont="1" applyFill="1" applyAlignment="1">
      <alignment horizontal="left"/>
    </xf>
    <xf numFmtId="0" fontId="1" fillId="0" borderId="0" xfId="1" applyFont="1" applyAlignment="1"/>
    <xf numFmtId="49" fontId="1" fillId="6" borderId="0" xfId="1" applyNumberFormat="1" applyFont="1" applyFill="1" applyAlignment="1">
      <alignment horizontal="left"/>
    </xf>
    <xf numFmtId="49" fontId="1" fillId="0" borderId="0" xfId="1" applyNumberFormat="1" applyFont="1" applyAlignment="1"/>
    <xf numFmtId="49" fontId="1" fillId="5" borderId="0" xfId="1" applyNumberFormat="1" applyFont="1" applyFill="1" applyAlignment="1">
      <alignment horizontal="left"/>
    </xf>
    <xf numFmtId="49" fontId="3" fillId="0" borderId="5" xfId="1" applyNumberFormat="1" applyFont="1" applyBorder="1" applyAlignment="1">
      <alignment horizontal="left"/>
    </xf>
    <xf numFmtId="49" fontId="3" fillId="8" borderId="0" xfId="1" applyNumberFormat="1" applyFont="1" applyFill="1" applyAlignment="1">
      <alignment horizontal="left"/>
    </xf>
    <xf numFmtId="0" fontId="1" fillId="7" borderId="0" xfId="1" applyFont="1" applyFill="1" applyAlignment="1"/>
    <xf numFmtId="0" fontId="1" fillId="8" borderId="0" xfId="1" applyFont="1" applyFill="1" applyAlignment="1"/>
    <xf numFmtId="0" fontId="0" fillId="0" borderId="0" xfId="1" applyFont="1" applyAlignment="1">
      <alignment horizontal="left"/>
    </xf>
    <xf numFmtId="164" fontId="3" fillId="0" borderId="0" xfId="1" applyNumberFormat="1" applyFont="1" applyAlignment="1">
      <alignment horizontal="left"/>
    </xf>
    <xf numFmtId="164" fontId="0" fillId="0" borderId="0" xfId="1" applyNumberFormat="1" applyFont="1" applyAlignment="1">
      <alignment horizontal="left"/>
    </xf>
    <xf numFmtId="164" fontId="1" fillId="0" borderId="0" xfId="1" applyNumberFormat="1" applyFont="1" applyAlignment="1">
      <alignment horizontal="left"/>
    </xf>
    <xf numFmtId="164" fontId="5" fillId="0" borderId="0" xfId="1" applyNumberFormat="1" applyFont="1" applyAlignment="1">
      <alignment horizontal="left"/>
    </xf>
    <xf numFmtId="164" fontId="0" fillId="7" borderId="0" xfId="1" applyNumberFormat="1" applyFont="1" applyFill="1" applyAlignment="1">
      <alignment horizontal="left"/>
    </xf>
    <xf numFmtId="164" fontId="2" fillId="7" borderId="0" xfId="1" applyNumberFormat="1" applyFont="1" applyFill="1" applyAlignment="1">
      <alignment horizontal="left"/>
    </xf>
    <xf numFmtId="164" fontId="1" fillId="0" borderId="0" xfId="1" applyNumberFormat="1" applyFont="1" applyAlignment="1"/>
    <xf numFmtId="164" fontId="1" fillId="0" borderId="0" xfId="1" applyNumberFormat="1" applyFont="1" applyAlignment="1"/>
    <xf numFmtId="164" fontId="0" fillId="0" borderId="0" xfId="0" applyNumberFormat="1"/>
    <xf numFmtId="49" fontId="3" fillId="0" borderId="6" xfId="1" applyNumberFormat="1" applyFont="1" applyBorder="1" applyAlignment="1">
      <alignment horizontal="left"/>
    </xf>
    <xf numFmtId="0" fontId="1" fillId="0" borderId="0" xfId="0" applyFont="1" applyAlignment="1">
      <alignment vertical="center" wrapText="1"/>
    </xf>
    <xf numFmtId="0" fontId="0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/>
    <xf numFmtId="0" fontId="5" fillId="0" borderId="3" xfId="0" applyFont="1" applyBorder="1" applyAlignment="1">
      <alignment horizontal="right" vertical="center" wrapText="1"/>
    </xf>
    <xf numFmtId="0" fontId="1" fillId="0" borderId="0" xfId="0" applyFont="1" applyAlignment="1"/>
    <xf numFmtId="0" fontId="1" fillId="0" borderId="3" xfId="0" applyFont="1" applyBorder="1" applyAlignment="1"/>
    <xf numFmtId="0" fontId="1" fillId="0" borderId="3" xfId="0" applyFont="1" applyBorder="1" applyAlignment="1">
      <alignment vertical="center" wrapText="1"/>
    </xf>
    <xf numFmtId="0" fontId="5" fillId="9" borderId="0" xfId="0" applyFont="1" applyFill="1" applyAlignment="1"/>
    <xf numFmtId="0" fontId="1" fillId="0" borderId="3" xfId="0" applyFont="1" applyBorder="1"/>
    <xf numFmtId="0" fontId="5" fillId="9" borderId="3" xfId="0" applyFont="1" applyFill="1" applyBorder="1" applyAlignment="1"/>
    <xf numFmtId="49" fontId="3" fillId="0" borderId="1" xfId="1" applyNumberFormat="1" applyFont="1" applyBorder="1" applyAlignment="1">
      <alignment horizontal="left"/>
    </xf>
    <xf numFmtId="0" fontId="1" fillId="0" borderId="0" xfId="1" applyFont="1" applyAlignment="1"/>
    <xf numFmtId="0" fontId="4" fillId="0" borderId="3" xfId="1" applyFont="1" applyBorder="1"/>
    <xf numFmtId="49" fontId="3" fillId="0" borderId="6" xfId="1" applyNumberFormat="1" applyFont="1" applyBorder="1" applyAlignment="1">
      <alignment horizontal="center"/>
    </xf>
    <xf numFmtId="0" fontId="4" fillId="0" borderId="6" xfId="1" applyFont="1" applyBorder="1"/>
    <xf numFmtId="0" fontId="4" fillId="0" borderId="5" xfId="1" applyFont="1" applyBorder="1"/>
    <xf numFmtId="0" fontId="0" fillId="0" borderId="5" xfId="0" applyBorder="1"/>
    <xf numFmtId="49" fontId="3" fillId="0" borderId="7" xfId="1" applyNumberFormat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4" xfId="1" applyFont="1" applyBorder="1" applyAlignment="1">
      <alignment horizontal="center"/>
    </xf>
    <xf numFmtId="49" fontId="3" fillId="0" borderId="5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1" applyFont="1" applyBorder="1" applyAlignment="1">
      <alignment horizontal="left"/>
    </xf>
    <xf numFmtId="49" fontId="1" fillId="0" borderId="2" xfId="1" applyNumberFormat="1" applyFont="1" applyBorder="1" applyAlignment="1">
      <alignment horizontal="center" vertical="center" wrapText="1"/>
    </xf>
    <xf numFmtId="0" fontId="4" fillId="0" borderId="2" xfId="1" applyFont="1" applyBorder="1"/>
    <xf numFmtId="49" fontId="3" fillId="0" borderId="3" xfId="1" applyNumberFormat="1" applyFont="1" applyBorder="1" applyAlignment="1">
      <alignment horizontal="left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/>
    <xf numFmtId="0" fontId="1" fillId="0" borderId="1" xfId="0" applyFont="1" applyBorder="1" applyAlignment="1">
      <alignment vertical="center" wrapText="1"/>
    </xf>
    <xf numFmtId="0" fontId="4" fillId="0" borderId="3" xfId="0" applyFont="1" applyBorder="1"/>
    <xf numFmtId="49" fontId="3" fillId="0" borderId="1" xfId="1" applyNumberFormat="1" applyFont="1" applyBorder="1" applyAlignment="1">
      <alignment horizontal="center"/>
    </xf>
    <xf numFmtId="0" fontId="4" fillId="0" borderId="1" xfId="1" applyFont="1" applyBorder="1"/>
    <xf numFmtId="0" fontId="0" fillId="0" borderId="0" xfId="0"/>
    <xf numFmtId="49" fontId="3" fillId="0" borderId="5" xfId="1" applyNumberFormat="1" applyFont="1" applyBorder="1" applyAlignment="1">
      <alignment horizontal="left"/>
    </xf>
    <xf numFmtId="49" fontId="1" fillId="0" borderId="5" xfId="1" applyNumberFormat="1" applyFont="1" applyBorder="1" applyAlignment="1">
      <alignment horizontal="left" vertical="center" wrapText="1"/>
    </xf>
    <xf numFmtId="49" fontId="3" fillId="0" borderId="4" xfId="1" applyNumberFormat="1" applyFont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ofi/Documentos/TESIS%20MAESTR&#205;A/DATOS%20LEGENDPLEX/TABLA_TOTAL_Q1_Q3_corregi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ntos de control todos los dat"/>
      <sheetName val="PUNTOS DE CONTROL"/>
      <sheetName val="Spearman checkpoints"/>
      <sheetName val="Citoquinas todos los datos"/>
      <sheetName val="CITOQUINAS"/>
      <sheetName val="Spearman Citoquinas"/>
      <sheetName val="Citoquinas y puntos de control "/>
      <sheetName val="Spearman 72 horas"/>
    </sheetNames>
    <sheetDataSet>
      <sheetData sheetId="0">
        <row r="2">
          <cell r="D2">
            <v>68.98</v>
          </cell>
          <cell r="E2">
            <v>336.02</v>
          </cell>
          <cell r="F2">
            <v>658.8</v>
          </cell>
          <cell r="G2">
            <v>820.37</v>
          </cell>
          <cell r="H2">
            <v>109.28</v>
          </cell>
          <cell r="I2">
            <v>46.08</v>
          </cell>
          <cell r="J2">
            <v>26.85</v>
          </cell>
          <cell r="K2">
            <v>286.36</v>
          </cell>
          <cell r="L2">
            <v>255.24</v>
          </cell>
        </row>
        <row r="3">
          <cell r="D3">
            <v>76.98</v>
          </cell>
          <cell r="E3">
            <v>312.76</v>
          </cell>
          <cell r="F3">
            <v>641.6</v>
          </cell>
          <cell r="G3">
            <v>652.25</v>
          </cell>
          <cell r="H3">
            <v>84.11</v>
          </cell>
          <cell r="I3">
            <v>45.66</v>
          </cell>
          <cell r="J3">
            <v>27.26</v>
          </cell>
          <cell r="K3">
            <v>281.83</v>
          </cell>
          <cell r="L3">
            <v>241.28</v>
          </cell>
        </row>
        <row r="4">
          <cell r="D4">
            <v>63.11</v>
          </cell>
          <cell r="E4">
            <v>353.04</v>
          </cell>
          <cell r="F4">
            <v>637.4</v>
          </cell>
          <cell r="G4">
            <v>777.47</v>
          </cell>
          <cell r="H4">
            <v>77.25</v>
          </cell>
          <cell r="I4">
            <v>43.74</v>
          </cell>
          <cell r="J4">
            <v>22.77</v>
          </cell>
          <cell r="K4">
            <v>275.85000000000002</v>
          </cell>
          <cell r="L4">
            <v>273.70999999999998</v>
          </cell>
        </row>
        <row r="5">
          <cell r="D5">
            <v>75.3</v>
          </cell>
          <cell r="E5">
            <v>322.89999999999998</v>
          </cell>
          <cell r="F5">
            <v>646.6</v>
          </cell>
          <cell r="G5">
            <v>754.82</v>
          </cell>
          <cell r="H5">
            <v>91.1</v>
          </cell>
          <cell r="I5">
            <v>45.19</v>
          </cell>
          <cell r="J5">
            <v>29.27</v>
          </cell>
          <cell r="K5">
            <v>273.12</v>
          </cell>
          <cell r="L5">
            <v>252.02</v>
          </cell>
        </row>
        <row r="6">
          <cell r="D6">
            <v>60.24</v>
          </cell>
          <cell r="E6">
            <v>310.32</v>
          </cell>
          <cell r="F6">
            <v>688.8</v>
          </cell>
          <cell r="G6">
            <v>681.5</v>
          </cell>
          <cell r="H6">
            <v>86.29</v>
          </cell>
          <cell r="I6">
            <v>45.04</v>
          </cell>
          <cell r="J6">
            <v>25.05</v>
          </cell>
          <cell r="K6">
            <v>276</v>
          </cell>
          <cell r="L6">
            <v>262.87</v>
          </cell>
        </row>
        <row r="7">
          <cell r="D7">
            <v>71.78</v>
          </cell>
          <cell r="E7">
            <v>337.26</v>
          </cell>
          <cell r="F7">
            <v>669.6</v>
          </cell>
          <cell r="G7">
            <v>783.19</v>
          </cell>
          <cell r="H7">
            <v>79.989999999999995</v>
          </cell>
          <cell r="I7">
            <v>47.42</v>
          </cell>
          <cell r="J7">
            <v>26.24</v>
          </cell>
          <cell r="K7">
            <v>291.17</v>
          </cell>
          <cell r="L7">
            <v>290.32</v>
          </cell>
        </row>
        <row r="8">
          <cell r="D8">
            <v>39.869999999999997</v>
          </cell>
          <cell r="F8">
            <v>477.1</v>
          </cell>
          <cell r="H8">
            <v>107.69</v>
          </cell>
          <cell r="I8">
            <v>41.43</v>
          </cell>
          <cell r="J8">
            <v>17.100000000000001</v>
          </cell>
          <cell r="K8">
            <v>284.89999999999998</v>
          </cell>
          <cell r="M8">
            <v>197.2</v>
          </cell>
          <cell r="O8">
            <v>140.03</v>
          </cell>
        </row>
        <row r="9">
          <cell r="D9">
            <v>41.88</v>
          </cell>
          <cell r="E9">
            <v>315.68</v>
          </cell>
          <cell r="F9">
            <v>631.20000000000005</v>
          </cell>
          <cell r="G9">
            <v>644.70000000000005</v>
          </cell>
          <cell r="H9">
            <v>60.07</v>
          </cell>
          <cell r="I9">
            <v>80.23</v>
          </cell>
          <cell r="J9">
            <v>18.68</v>
          </cell>
          <cell r="K9">
            <v>329.93</v>
          </cell>
          <cell r="L9">
            <v>220.58</v>
          </cell>
          <cell r="M9">
            <v>195.6</v>
          </cell>
        </row>
        <row r="10">
          <cell r="D10">
            <v>77.16</v>
          </cell>
          <cell r="E10">
            <v>320.32</v>
          </cell>
          <cell r="F10">
            <v>651.6</v>
          </cell>
          <cell r="G10">
            <v>763.18</v>
          </cell>
          <cell r="H10">
            <v>68.47</v>
          </cell>
          <cell r="I10">
            <v>66.739999999999995</v>
          </cell>
          <cell r="J10">
            <v>18.82</v>
          </cell>
          <cell r="K10">
            <v>343.97</v>
          </cell>
          <cell r="L10">
            <v>244.73</v>
          </cell>
          <cell r="M10">
            <v>212.7</v>
          </cell>
        </row>
        <row r="11">
          <cell r="D11">
            <v>90.35</v>
          </cell>
          <cell r="E11">
            <v>359.5</v>
          </cell>
          <cell r="F11">
            <v>765.6</v>
          </cell>
          <cell r="G11">
            <v>890.62</v>
          </cell>
          <cell r="H11">
            <v>68.67</v>
          </cell>
          <cell r="I11">
            <v>90.25</v>
          </cell>
          <cell r="J11">
            <v>19.809999999999999</v>
          </cell>
          <cell r="K11">
            <v>314.83</v>
          </cell>
          <cell r="L11">
            <v>253.62</v>
          </cell>
        </row>
        <row r="12">
          <cell r="D12">
            <v>73.650000000000006</v>
          </cell>
          <cell r="E12">
            <v>329.1</v>
          </cell>
          <cell r="F12">
            <v>667</v>
          </cell>
          <cell r="G12">
            <v>623.87</v>
          </cell>
          <cell r="H12">
            <v>81.69</v>
          </cell>
          <cell r="I12">
            <v>42.41</v>
          </cell>
          <cell r="J12">
            <v>27.99</v>
          </cell>
          <cell r="K12">
            <v>261.02999999999997</v>
          </cell>
          <cell r="L12">
            <v>218.15</v>
          </cell>
        </row>
        <row r="13">
          <cell r="D13">
            <v>60.45</v>
          </cell>
          <cell r="F13">
            <v>638.20000000000005</v>
          </cell>
          <cell r="H13">
            <v>57.19</v>
          </cell>
          <cell r="I13">
            <v>69.63</v>
          </cell>
          <cell r="J13">
            <v>18.940000000000001</v>
          </cell>
          <cell r="L13">
            <v>193.66</v>
          </cell>
        </row>
        <row r="14">
          <cell r="D14">
            <v>45.5</v>
          </cell>
          <cell r="F14">
            <v>603.79999999999995</v>
          </cell>
          <cell r="H14">
            <v>103.08</v>
          </cell>
          <cell r="I14">
            <v>43.1</v>
          </cell>
          <cell r="J14">
            <v>17.760000000000002</v>
          </cell>
          <cell r="K14">
            <v>297.36</v>
          </cell>
          <cell r="M14">
            <v>217.3</v>
          </cell>
          <cell r="O14">
            <v>147.06</v>
          </cell>
        </row>
        <row r="15">
          <cell r="D15">
            <v>83.83</v>
          </cell>
          <cell r="E15">
            <v>304.45999999999998</v>
          </cell>
          <cell r="F15">
            <v>660.5</v>
          </cell>
          <cell r="G15">
            <v>688.26</v>
          </cell>
          <cell r="I15">
            <v>43.5</v>
          </cell>
          <cell r="J15">
            <v>17.57</v>
          </cell>
          <cell r="K15">
            <v>272.19</v>
          </cell>
          <cell r="L15">
            <v>191.39</v>
          </cell>
          <cell r="M15">
            <v>196</v>
          </cell>
        </row>
        <row r="16">
          <cell r="D16">
            <v>63.57</v>
          </cell>
          <cell r="E16">
            <v>299.14999999999998</v>
          </cell>
          <cell r="F16">
            <v>680.9</v>
          </cell>
          <cell r="G16">
            <v>804.36</v>
          </cell>
          <cell r="H16">
            <v>73.81</v>
          </cell>
          <cell r="I16">
            <v>46.25</v>
          </cell>
          <cell r="J16">
            <v>29.71</v>
          </cell>
          <cell r="K16">
            <v>276.97000000000003</v>
          </cell>
          <cell r="L16">
            <v>269.94</v>
          </cell>
        </row>
        <row r="17">
          <cell r="D17">
            <v>69.09</v>
          </cell>
          <cell r="E17">
            <v>303.25</v>
          </cell>
          <cell r="F17">
            <v>662.4</v>
          </cell>
          <cell r="G17">
            <v>718.06</v>
          </cell>
          <cell r="H17">
            <v>70.78</v>
          </cell>
          <cell r="I17">
            <v>46.87</v>
          </cell>
          <cell r="J17">
            <v>26.95</v>
          </cell>
          <cell r="K17">
            <v>278.08999999999997</v>
          </cell>
          <cell r="L17">
            <v>241.16</v>
          </cell>
        </row>
        <row r="18">
          <cell r="D18">
            <v>77.69</v>
          </cell>
          <cell r="E18">
            <v>318.88</v>
          </cell>
          <cell r="F18">
            <v>612.20000000000005</v>
          </cell>
          <cell r="G18">
            <v>703.55</v>
          </cell>
          <cell r="H18">
            <v>51.38</v>
          </cell>
          <cell r="I18">
            <v>91.66</v>
          </cell>
          <cell r="J18">
            <v>17.329999999999998</v>
          </cell>
          <cell r="K18">
            <v>277.5</v>
          </cell>
          <cell r="L18">
            <v>206.95</v>
          </cell>
          <cell r="M18">
            <v>207.1</v>
          </cell>
        </row>
        <row r="19">
          <cell r="D19">
            <v>71.31</v>
          </cell>
          <cell r="E19">
            <v>323.36</v>
          </cell>
          <cell r="F19">
            <v>690.8</v>
          </cell>
          <cell r="G19">
            <v>780.49</v>
          </cell>
          <cell r="H19">
            <v>74.98</v>
          </cell>
          <cell r="I19">
            <v>44.79</v>
          </cell>
          <cell r="J19">
            <v>28.21</v>
          </cell>
          <cell r="K19">
            <v>280.77999999999997</v>
          </cell>
          <cell r="L19">
            <v>249.07</v>
          </cell>
        </row>
        <row r="20">
          <cell r="D20">
            <v>72.180000000000007</v>
          </cell>
          <cell r="E20">
            <v>314.48</v>
          </cell>
          <cell r="F20">
            <v>690.6</v>
          </cell>
          <cell r="G20">
            <v>727.79</v>
          </cell>
          <cell r="H20">
            <v>86.27</v>
          </cell>
          <cell r="I20">
            <v>43.63</v>
          </cell>
          <cell r="J20">
            <v>29.46</v>
          </cell>
          <cell r="K20">
            <v>272.14</v>
          </cell>
          <cell r="L20">
            <v>240.99</v>
          </cell>
        </row>
        <row r="21">
          <cell r="D21">
            <v>45.2</v>
          </cell>
          <cell r="E21">
            <v>271.83999999999997</v>
          </cell>
          <cell r="F21">
            <v>682.7</v>
          </cell>
          <cell r="G21">
            <v>793.41</v>
          </cell>
          <cell r="H21">
            <v>61.82</v>
          </cell>
          <cell r="I21">
            <v>94.28</v>
          </cell>
          <cell r="J21">
            <v>18.55</v>
          </cell>
          <cell r="K21">
            <v>266.07</v>
          </cell>
          <cell r="L21">
            <v>207.91</v>
          </cell>
          <cell r="M21">
            <v>207.6</v>
          </cell>
        </row>
        <row r="22">
          <cell r="D22">
            <v>78.67</v>
          </cell>
          <cell r="E22">
            <v>332.75</v>
          </cell>
          <cell r="F22">
            <v>650.9</v>
          </cell>
          <cell r="G22">
            <v>778.06</v>
          </cell>
          <cell r="H22">
            <v>99.4</v>
          </cell>
          <cell r="I22">
            <v>41.58</v>
          </cell>
          <cell r="J22">
            <v>31.41</v>
          </cell>
          <cell r="K22">
            <v>280.39</v>
          </cell>
          <cell r="L22">
            <v>265.02</v>
          </cell>
        </row>
        <row r="23">
          <cell r="D23">
            <v>49.19</v>
          </cell>
          <cell r="F23">
            <v>665.8</v>
          </cell>
          <cell r="H23">
            <v>99.53</v>
          </cell>
          <cell r="I23">
            <v>44.99</v>
          </cell>
          <cell r="J23">
            <v>29.58</v>
          </cell>
          <cell r="K23">
            <v>275.89</v>
          </cell>
          <cell r="L23">
            <v>233.04</v>
          </cell>
        </row>
        <row r="24">
          <cell r="D24">
            <v>26.75</v>
          </cell>
          <cell r="F24">
            <v>581.6</v>
          </cell>
          <cell r="H24">
            <v>73.61</v>
          </cell>
          <cell r="I24">
            <v>69.569999999999993</v>
          </cell>
          <cell r="J24">
            <v>18.02</v>
          </cell>
          <cell r="K24">
            <v>288.43</v>
          </cell>
          <cell r="L24">
            <v>201.75</v>
          </cell>
          <cell r="O24">
            <v>150.30000000000001</v>
          </cell>
        </row>
        <row r="25">
          <cell r="D25">
            <v>59.5</v>
          </cell>
          <cell r="E25">
            <v>325.14</v>
          </cell>
          <cell r="F25">
            <v>670</v>
          </cell>
          <cell r="G25">
            <v>766.04</v>
          </cell>
          <cell r="H25">
            <v>87.43</v>
          </cell>
          <cell r="I25">
            <v>47.05</v>
          </cell>
          <cell r="J25">
            <v>27.8</v>
          </cell>
          <cell r="K25">
            <v>281.33999999999997</v>
          </cell>
          <cell r="L25">
            <v>235.39</v>
          </cell>
        </row>
        <row r="26">
          <cell r="D26">
            <v>68.849999999999994</v>
          </cell>
          <cell r="E26">
            <v>311.02999999999997</v>
          </cell>
          <cell r="F26">
            <v>703.5</v>
          </cell>
          <cell r="G26">
            <v>780.62</v>
          </cell>
          <cell r="H26">
            <v>80.19</v>
          </cell>
          <cell r="I26">
            <v>45.42</v>
          </cell>
          <cell r="J26">
            <v>29.18</v>
          </cell>
          <cell r="K26">
            <v>274.82</v>
          </cell>
          <cell r="L26">
            <v>269.93</v>
          </cell>
        </row>
        <row r="27">
          <cell r="D27">
            <v>66.84</v>
          </cell>
          <cell r="E27">
            <v>330.44</v>
          </cell>
          <cell r="F27">
            <v>677.4</v>
          </cell>
          <cell r="G27">
            <v>733.34</v>
          </cell>
          <cell r="H27">
            <v>86.21</v>
          </cell>
          <cell r="I27">
            <v>44.23</v>
          </cell>
          <cell r="J27">
            <v>29.11</v>
          </cell>
          <cell r="K27">
            <v>283.13</v>
          </cell>
          <cell r="L27">
            <v>255.78</v>
          </cell>
        </row>
        <row r="28">
          <cell r="D28">
            <v>82.72</v>
          </cell>
          <cell r="E28">
            <v>344.29</v>
          </cell>
          <cell r="F28">
            <v>619.6</v>
          </cell>
          <cell r="G28">
            <v>693.55</v>
          </cell>
          <cell r="H28">
            <v>53.27</v>
          </cell>
          <cell r="I28">
            <v>81.040000000000006</v>
          </cell>
          <cell r="J28">
            <v>18.71</v>
          </cell>
          <cell r="L28">
            <v>212.05</v>
          </cell>
        </row>
        <row r="29">
          <cell r="D29">
            <v>55.1</v>
          </cell>
          <cell r="E29">
            <v>1025.45</v>
          </cell>
          <cell r="F29">
            <v>704</v>
          </cell>
          <cell r="H29">
            <v>58.95</v>
          </cell>
          <cell r="I29">
            <v>95.41</v>
          </cell>
          <cell r="J29">
            <v>19.260000000000002</v>
          </cell>
          <cell r="K29">
            <v>339.27</v>
          </cell>
          <cell r="L29">
            <v>225</v>
          </cell>
          <cell r="M29">
            <v>200.2</v>
          </cell>
          <cell r="N29">
            <v>232.3</v>
          </cell>
          <cell r="O29">
            <v>138.44</v>
          </cell>
        </row>
        <row r="30">
          <cell r="D30">
            <v>78.37</v>
          </cell>
          <cell r="E30">
            <v>337.12</v>
          </cell>
          <cell r="F30">
            <v>640.1</v>
          </cell>
          <cell r="G30">
            <v>784.29</v>
          </cell>
          <cell r="I30">
            <v>108.14</v>
          </cell>
          <cell r="J30">
            <v>18.77</v>
          </cell>
          <cell r="K30">
            <v>469.1</v>
          </cell>
          <cell r="L30">
            <v>204.05</v>
          </cell>
        </row>
        <row r="31">
          <cell r="D31">
            <v>60.41</v>
          </cell>
          <cell r="E31">
            <v>313.8</v>
          </cell>
          <cell r="F31">
            <v>680.7</v>
          </cell>
          <cell r="G31">
            <v>799.5</v>
          </cell>
          <cell r="H31">
            <v>85.79</v>
          </cell>
          <cell r="I31">
            <v>44.81</v>
          </cell>
          <cell r="J31">
            <v>29.57</v>
          </cell>
          <cell r="K31">
            <v>274.08999999999997</v>
          </cell>
          <cell r="L31">
            <v>260.43</v>
          </cell>
        </row>
        <row r="32">
          <cell r="D32">
            <v>70.55</v>
          </cell>
          <cell r="F32">
            <v>616.9</v>
          </cell>
          <cell r="G32">
            <v>851.76</v>
          </cell>
          <cell r="H32">
            <v>93.79</v>
          </cell>
          <cell r="I32">
            <v>44.71</v>
          </cell>
          <cell r="J32">
            <v>23.77</v>
          </cell>
          <cell r="K32">
            <v>279</v>
          </cell>
          <cell r="L32">
            <v>312.87</v>
          </cell>
        </row>
        <row r="33">
          <cell r="D33">
            <v>72.59</v>
          </cell>
          <cell r="E33">
            <v>313</v>
          </cell>
          <cell r="F33">
            <v>658.6</v>
          </cell>
          <cell r="G33">
            <v>750.65</v>
          </cell>
          <cell r="H33">
            <v>87.28</v>
          </cell>
          <cell r="I33">
            <v>45.82</v>
          </cell>
          <cell r="J33">
            <v>30.59</v>
          </cell>
          <cell r="K33">
            <v>278.8</v>
          </cell>
          <cell r="L33">
            <v>270.97000000000003</v>
          </cell>
        </row>
        <row r="34">
          <cell r="D34">
            <v>59.01</v>
          </cell>
          <cell r="E34">
            <v>329.8</v>
          </cell>
          <cell r="F34">
            <v>693.1</v>
          </cell>
          <cell r="G34">
            <v>751.08</v>
          </cell>
          <cell r="H34">
            <v>84.77</v>
          </cell>
          <cell r="I34">
            <v>45.42</v>
          </cell>
          <cell r="J34">
            <v>31.87</v>
          </cell>
          <cell r="K34">
            <v>280.49</v>
          </cell>
          <cell r="L34">
            <v>241.54</v>
          </cell>
        </row>
        <row r="35">
          <cell r="D35">
            <v>33.64</v>
          </cell>
          <cell r="E35">
            <v>1027.9000000000001</v>
          </cell>
          <cell r="F35">
            <v>544.1</v>
          </cell>
          <cell r="H35">
            <v>97.05</v>
          </cell>
          <cell r="I35">
            <v>42.99</v>
          </cell>
          <cell r="J35">
            <v>20.59</v>
          </cell>
          <cell r="K35">
            <v>286.32</v>
          </cell>
          <cell r="M35">
            <v>226.9</v>
          </cell>
          <cell r="N35">
            <v>204.3</v>
          </cell>
          <cell r="O35">
            <v>184.37</v>
          </cell>
        </row>
        <row r="36">
          <cell r="D36">
            <v>51.36</v>
          </cell>
          <cell r="F36">
            <v>633.70000000000005</v>
          </cell>
          <cell r="H36">
            <v>43.27</v>
          </cell>
          <cell r="I36">
            <v>41.08</v>
          </cell>
          <cell r="J36">
            <v>29.55</v>
          </cell>
          <cell r="K36">
            <v>285.81</v>
          </cell>
          <cell r="O36">
            <v>100.32</v>
          </cell>
        </row>
        <row r="37">
          <cell r="D37">
            <v>67.13</v>
          </cell>
          <cell r="E37">
            <v>322.85000000000002</v>
          </cell>
          <cell r="F37">
            <v>658.3</v>
          </cell>
          <cell r="G37">
            <v>724.97</v>
          </cell>
          <cell r="H37">
            <v>91.25</v>
          </cell>
          <cell r="I37">
            <v>44.28</v>
          </cell>
          <cell r="J37">
            <v>31.77</v>
          </cell>
          <cell r="K37">
            <v>278.75</v>
          </cell>
          <cell r="L37">
            <v>263.05</v>
          </cell>
        </row>
        <row r="38">
          <cell r="D38">
            <v>53.16</v>
          </cell>
          <cell r="E38">
            <v>1025.94</v>
          </cell>
          <cell r="F38">
            <v>630.1</v>
          </cell>
          <cell r="H38">
            <v>65.3</v>
          </cell>
          <cell r="I38">
            <v>122.83</v>
          </cell>
          <cell r="J38">
            <v>19.690000000000001</v>
          </cell>
          <cell r="K38">
            <v>297.45999999999998</v>
          </cell>
          <cell r="L38">
            <v>209.83</v>
          </cell>
          <cell r="N38">
            <v>154.4</v>
          </cell>
          <cell r="O38">
            <v>223.64</v>
          </cell>
        </row>
        <row r="39">
          <cell r="D39">
            <v>70.650000000000006</v>
          </cell>
          <cell r="E39">
            <v>338.84</v>
          </cell>
          <cell r="F39">
            <v>617.29999999999995</v>
          </cell>
          <cell r="G39">
            <v>971.77</v>
          </cell>
          <cell r="H39">
            <v>88.98</v>
          </cell>
          <cell r="I39">
            <v>45.69</v>
          </cell>
          <cell r="J39">
            <v>27.63</v>
          </cell>
          <cell r="K39">
            <v>271.27999999999997</v>
          </cell>
          <cell r="L39">
            <v>254.89</v>
          </cell>
        </row>
        <row r="40">
          <cell r="D40">
            <v>77.69</v>
          </cell>
          <cell r="E40">
            <v>350.3</v>
          </cell>
          <cell r="F40">
            <v>678</v>
          </cell>
          <cell r="G40">
            <v>873.6</v>
          </cell>
          <cell r="H40">
            <v>87.49</v>
          </cell>
          <cell r="I40">
            <v>47.24</v>
          </cell>
          <cell r="J40">
            <v>25.32</v>
          </cell>
          <cell r="K40">
            <v>276.93</v>
          </cell>
          <cell r="L40">
            <v>256.19</v>
          </cell>
        </row>
        <row r="41">
          <cell r="D41">
            <v>68.5</v>
          </cell>
          <cell r="E41">
            <v>1062.3800000000001</v>
          </cell>
          <cell r="F41">
            <v>622.79999999999995</v>
          </cell>
          <cell r="G41">
            <v>968.07</v>
          </cell>
          <cell r="H41">
            <v>82.08</v>
          </cell>
          <cell r="I41">
            <v>43.86</v>
          </cell>
          <cell r="J41">
            <v>32.69</v>
          </cell>
          <cell r="K41">
            <v>278.33</v>
          </cell>
          <cell r="L41">
            <v>214.96</v>
          </cell>
          <cell r="N41">
            <v>207</v>
          </cell>
          <cell r="O41">
            <v>201.9</v>
          </cell>
        </row>
        <row r="42">
          <cell r="D42">
            <v>63.97</v>
          </cell>
          <cell r="E42">
            <v>331.04</v>
          </cell>
          <cell r="F42">
            <v>674.3</v>
          </cell>
          <cell r="G42">
            <v>890.47</v>
          </cell>
          <cell r="H42">
            <v>89.48</v>
          </cell>
          <cell r="I42">
            <v>46.16</v>
          </cell>
          <cell r="J42">
            <v>26.95</v>
          </cell>
          <cell r="K42">
            <v>276.11</v>
          </cell>
          <cell r="L42">
            <v>326.66000000000003</v>
          </cell>
        </row>
        <row r="43">
          <cell r="D43">
            <v>78.08</v>
          </cell>
          <cell r="E43">
            <v>331.05</v>
          </cell>
          <cell r="F43">
            <v>647.79999999999995</v>
          </cell>
          <cell r="G43">
            <v>854.36</v>
          </cell>
          <cell r="H43">
            <v>87.79</v>
          </cell>
          <cell r="I43">
            <v>45.51</v>
          </cell>
          <cell r="J43">
            <v>24.39</v>
          </cell>
          <cell r="K43">
            <v>275.05</v>
          </cell>
          <cell r="L43">
            <v>250.02</v>
          </cell>
        </row>
        <row r="44">
          <cell r="D44">
            <v>64.569999999999993</v>
          </cell>
          <cell r="E44">
            <v>1029.45</v>
          </cell>
          <cell r="F44">
            <v>612</v>
          </cell>
          <cell r="G44">
            <v>836.2</v>
          </cell>
          <cell r="H44">
            <v>55.41</v>
          </cell>
          <cell r="I44">
            <v>69.319999999999993</v>
          </cell>
          <cell r="J44">
            <v>19.45</v>
          </cell>
          <cell r="K44">
            <v>279.88</v>
          </cell>
          <cell r="L44">
            <v>216.85</v>
          </cell>
          <cell r="M44">
            <v>254.9</v>
          </cell>
          <cell r="N44">
            <v>225</v>
          </cell>
          <cell r="O44">
            <v>302.23</v>
          </cell>
        </row>
        <row r="45">
          <cell r="F45">
            <v>675.7</v>
          </cell>
          <cell r="H45">
            <v>64.819999999999993</v>
          </cell>
          <cell r="I45">
            <v>70.239999999999995</v>
          </cell>
          <cell r="J45">
            <v>18.61</v>
          </cell>
          <cell r="L45">
            <v>214.27</v>
          </cell>
          <cell r="M45">
            <v>218.9</v>
          </cell>
          <cell r="O45">
            <v>171.24</v>
          </cell>
        </row>
        <row r="46">
          <cell r="D46">
            <v>62.45</v>
          </cell>
          <cell r="E46">
            <v>316.52999999999997</v>
          </cell>
          <cell r="F46">
            <v>675.4</v>
          </cell>
          <cell r="G46">
            <v>804.22</v>
          </cell>
          <cell r="H46">
            <v>93.01</v>
          </cell>
          <cell r="I46">
            <v>47.76</v>
          </cell>
          <cell r="J46">
            <v>30.23</v>
          </cell>
          <cell r="K46">
            <v>281.45</v>
          </cell>
          <cell r="L46">
            <v>253.81</v>
          </cell>
        </row>
        <row r="47">
          <cell r="D47">
            <v>82.94</v>
          </cell>
          <cell r="E47">
            <v>348.26</v>
          </cell>
          <cell r="F47">
            <v>669.2</v>
          </cell>
          <cell r="G47">
            <v>1841.01</v>
          </cell>
          <cell r="H47">
            <v>485.88</v>
          </cell>
          <cell r="I47">
            <v>43.43</v>
          </cell>
          <cell r="J47">
            <v>16.7</v>
          </cell>
          <cell r="K47">
            <v>333.12</v>
          </cell>
          <cell r="L47">
            <v>216.69</v>
          </cell>
          <cell r="M47">
            <v>230.3</v>
          </cell>
          <cell r="O47">
            <v>232.44</v>
          </cell>
        </row>
        <row r="48">
          <cell r="D48">
            <v>95.92</v>
          </cell>
          <cell r="E48">
            <v>324.93</v>
          </cell>
          <cell r="F48">
            <v>610</v>
          </cell>
          <cell r="G48">
            <v>1303.08</v>
          </cell>
          <cell r="H48">
            <v>309.83999999999997</v>
          </cell>
          <cell r="I48">
            <v>39.619999999999997</v>
          </cell>
          <cell r="J48">
            <v>22.56</v>
          </cell>
          <cell r="K48">
            <v>273.47000000000003</v>
          </cell>
          <cell r="L48">
            <v>192.82</v>
          </cell>
          <cell r="M48">
            <v>216.6</v>
          </cell>
        </row>
        <row r="49">
          <cell r="D49">
            <v>73.540000000000006</v>
          </cell>
          <cell r="E49">
            <v>1254.1099999999999</v>
          </cell>
          <cell r="F49">
            <v>684.5</v>
          </cell>
          <cell r="I49">
            <v>41.75</v>
          </cell>
          <cell r="J49">
            <v>16.77</v>
          </cell>
          <cell r="K49">
            <v>320.14999999999998</v>
          </cell>
          <cell r="L49">
            <v>215.84</v>
          </cell>
          <cell r="N49">
            <v>174.3</v>
          </cell>
          <cell r="O49">
            <v>137.52000000000001</v>
          </cell>
        </row>
        <row r="50">
          <cell r="D50">
            <v>75.83</v>
          </cell>
          <cell r="E50">
            <v>1061.81</v>
          </cell>
          <cell r="F50">
            <v>773.3</v>
          </cell>
          <cell r="H50">
            <v>168.68</v>
          </cell>
          <cell r="I50">
            <v>61.46</v>
          </cell>
          <cell r="J50">
            <v>18.5</v>
          </cell>
          <cell r="K50">
            <v>262.3</v>
          </cell>
          <cell r="L50">
            <v>1106.58</v>
          </cell>
          <cell r="M50">
            <v>177.2</v>
          </cell>
          <cell r="N50">
            <v>163.5</v>
          </cell>
        </row>
        <row r="51">
          <cell r="D51">
            <v>92.58</v>
          </cell>
          <cell r="E51">
            <v>1217.74</v>
          </cell>
          <cell r="F51">
            <v>687.2</v>
          </cell>
          <cell r="H51">
            <v>67.849999999999994</v>
          </cell>
          <cell r="I51">
            <v>108.74</v>
          </cell>
          <cell r="J51">
            <v>19.829999999999998</v>
          </cell>
          <cell r="K51">
            <v>333.47</v>
          </cell>
          <cell r="L51">
            <v>216.13</v>
          </cell>
          <cell r="M51">
            <v>185.3</v>
          </cell>
          <cell r="N51">
            <v>165.6</v>
          </cell>
          <cell r="O51">
            <v>188.2</v>
          </cell>
        </row>
        <row r="52">
          <cell r="D52">
            <v>78.17</v>
          </cell>
          <cell r="E52">
            <v>338.05</v>
          </cell>
          <cell r="F52">
            <v>720.1</v>
          </cell>
          <cell r="G52">
            <v>904.15</v>
          </cell>
          <cell r="H52">
            <v>352.76</v>
          </cell>
          <cell r="I52">
            <v>43.8</v>
          </cell>
          <cell r="J52">
            <v>17.760000000000002</v>
          </cell>
          <cell r="K52">
            <v>338.96</v>
          </cell>
          <cell r="L52">
            <v>811.23</v>
          </cell>
          <cell r="M52">
            <v>223.9</v>
          </cell>
        </row>
        <row r="53">
          <cell r="D53">
            <v>74.55</v>
          </cell>
          <cell r="E53">
            <v>364.74</v>
          </cell>
          <cell r="F53">
            <v>667.9</v>
          </cell>
          <cell r="G53">
            <v>816.91</v>
          </cell>
          <cell r="H53">
            <v>63.13</v>
          </cell>
          <cell r="I53">
            <v>63.37</v>
          </cell>
          <cell r="J53">
            <v>19.149999999999999</v>
          </cell>
          <cell r="K53">
            <v>294.51</v>
          </cell>
          <cell r="L53">
            <v>220.82</v>
          </cell>
          <cell r="O53">
            <v>131.31</v>
          </cell>
        </row>
        <row r="54">
          <cell r="D54">
            <v>70.81</v>
          </cell>
          <cell r="E54">
            <v>337.76</v>
          </cell>
          <cell r="F54">
            <v>668</v>
          </cell>
          <cell r="G54">
            <v>852.48</v>
          </cell>
          <cell r="H54">
            <v>100.32</v>
          </cell>
          <cell r="I54">
            <v>45.81</v>
          </cell>
          <cell r="J54">
            <v>23.9</v>
          </cell>
          <cell r="K54">
            <v>280.58</v>
          </cell>
          <cell r="L54">
            <v>259.94</v>
          </cell>
        </row>
        <row r="55">
          <cell r="D55">
            <v>77.86</v>
          </cell>
          <cell r="E55">
            <v>365</v>
          </cell>
          <cell r="F55">
            <v>663.3</v>
          </cell>
          <cell r="G55">
            <v>885.54</v>
          </cell>
          <cell r="H55">
            <v>88.38</v>
          </cell>
          <cell r="I55">
            <v>42.84</v>
          </cell>
          <cell r="J55">
            <v>26.68</v>
          </cell>
          <cell r="K55">
            <v>279.64999999999998</v>
          </cell>
          <cell r="L55">
            <v>334.89</v>
          </cell>
          <cell r="O55">
            <v>188.63</v>
          </cell>
        </row>
        <row r="56">
          <cell r="D56">
            <v>80.19</v>
          </cell>
          <cell r="E56">
            <v>1344.29</v>
          </cell>
          <cell r="F56">
            <v>699.9</v>
          </cell>
          <cell r="G56">
            <v>1973.69</v>
          </cell>
          <cell r="H56">
            <v>167.13</v>
          </cell>
          <cell r="I56">
            <v>44.62</v>
          </cell>
          <cell r="J56">
            <v>16.55</v>
          </cell>
          <cell r="K56">
            <v>268.79000000000002</v>
          </cell>
          <cell r="L56">
            <v>364.31</v>
          </cell>
          <cell r="M56">
            <v>237.5</v>
          </cell>
          <cell r="O56">
            <v>231.42</v>
          </cell>
        </row>
        <row r="57">
          <cell r="D57">
            <v>82.42</v>
          </cell>
          <cell r="E57">
            <v>355.46</v>
          </cell>
          <cell r="F57">
            <v>649</v>
          </cell>
          <cell r="G57">
            <v>866.69</v>
          </cell>
          <cell r="H57">
            <v>78.64</v>
          </cell>
          <cell r="I57">
            <v>44.65</v>
          </cell>
          <cell r="J57">
            <v>26.53</v>
          </cell>
          <cell r="K57">
            <v>280.5</v>
          </cell>
          <cell r="L57">
            <v>338.58</v>
          </cell>
          <cell r="O57">
            <v>128.65</v>
          </cell>
        </row>
        <row r="58">
          <cell r="D58">
            <v>80.05</v>
          </cell>
          <cell r="E58">
            <v>347.45</v>
          </cell>
          <cell r="F58">
            <v>1009.2</v>
          </cell>
          <cell r="G58">
            <v>1074.93</v>
          </cell>
          <cell r="H58">
            <v>1432.81</v>
          </cell>
          <cell r="I58">
            <v>40.86</v>
          </cell>
          <cell r="J58">
            <v>26.97</v>
          </cell>
          <cell r="K58">
            <v>335.45</v>
          </cell>
          <cell r="L58">
            <v>408.94</v>
          </cell>
          <cell r="M58">
            <v>208.2</v>
          </cell>
          <cell r="O58">
            <v>88.47</v>
          </cell>
        </row>
        <row r="59">
          <cell r="D59">
            <v>149.1</v>
          </cell>
          <cell r="F59">
            <v>475</v>
          </cell>
          <cell r="G59">
            <v>1689.73</v>
          </cell>
          <cell r="H59">
            <v>791.02</v>
          </cell>
          <cell r="I59">
            <v>43.92</v>
          </cell>
          <cell r="J59">
            <v>17.93</v>
          </cell>
          <cell r="K59">
            <v>297.74</v>
          </cell>
          <cell r="L59">
            <v>870.1</v>
          </cell>
          <cell r="M59">
            <v>201.3</v>
          </cell>
        </row>
        <row r="60">
          <cell r="D60">
            <v>101.72</v>
          </cell>
          <cell r="E60">
            <v>1078.8800000000001</v>
          </cell>
          <cell r="F60">
            <v>720.1</v>
          </cell>
          <cell r="G60">
            <v>2493.73</v>
          </cell>
          <cell r="H60">
            <v>100.97</v>
          </cell>
          <cell r="I60">
            <v>49.48</v>
          </cell>
          <cell r="K60">
            <v>286.79000000000002</v>
          </cell>
          <cell r="L60">
            <v>290.33999999999997</v>
          </cell>
          <cell r="O60">
            <v>156.93</v>
          </cell>
        </row>
        <row r="61">
          <cell r="D61">
            <v>80.75</v>
          </cell>
          <cell r="E61">
            <v>382.86</v>
          </cell>
          <cell r="F61">
            <v>1163.5</v>
          </cell>
          <cell r="H61">
            <v>80.569999999999993</v>
          </cell>
          <cell r="I61">
            <v>98.64</v>
          </cell>
          <cell r="J61">
            <v>19.899999999999999</v>
          </cell>
          <cell r="L61">
            <v>217.21</v>
          </cell>
        </row>
        <row r="62">
          <cell r="D62">
            <v>58.73</v>
          </cell>
          <cell r="E62">
            <v>367.29</v>
          </cell>
          <cell r="F62">
            <v>684.6</v>
          </cell>
          <cell r="G62">
            <v>2013.75</v>
          </cell>
          <cell r="H62">
            <v>2730.19</v>
          </cell>
          <cell r="J62">
            <v>18.57</v>
          </cell>
          <cell r="K62">
            <v>302.69</v>
          </cell>
          <cell r="L62">
            <v>211.34</v>
          </cell>
          <cell r="M62">
            <v>722.4</v>
          </cell>
        </row>
        <row r="63">
          <cell r="D63">
            <v>110.91</v>
          </cell>
          <cell r="E63">
            <v>1379.57</v>
          </cell>
          <cell r="F63">
            <v>777.3</v>
          </cell>
          <cell r="H63">
            <v>178.36</v>
          </cell>
          <cell r="I63">
            <v>48.84</v>
          </cell>
          <cell r="K63">
            <v>279.76</v>
          </cell>
          <cell r="L63">
            <v>420</v>
          </cell>
          <cell r="M63">
            <v>840.1</v>
          </cell>
          <cell r="O63">
            <v>185.7</v>
          </cell>
        </row>
        <row r="64">
          <cell r="D64">
            <v>112.98</v>
          </cell>
          <cell r="E64">
            <v>1170.18</v>
          </cell>
          <cell r="F64">
            <v>700.4</v>
          </cell>
          <cell r="H64">
            <v>96.14</v>
          </cell>
          <cell r="I64">
            <v>39.090000000000003</v>
          </cell>
          <cell r="J64">
            <v>16.32</v>
          </cell>
          <cell r="K64">
            <v>257.99</v>
          </cell>
          <cell r="M64">
            <v>216.6</v>
          </cell>
          <cell r="N64">
            <v>739</v>
          </cell>
          <cell r="O64">
            <v>174.52</v>
          </cell>
        </row>
        <row r="65">
          <cell r="D65">
            <v>108.77</v>
          </cell>
          <cell r="E65">
            <v>1307.43</v>
          </cell>
          <cell r="H65">
            <v>484.7</v>
          </cell>
          <cell r="I65">
            <v>38.950000000000003</v>
          </cell>
          <cell r="J65">
            <v>23.63</v>
          </cell>
          <cell r="K65">
            <v>304.36</v>
          </cell>
          <cell r="L65">
            <v>196.17</v>
          </cell>
          <cell r="M65">
            <v>293.2</v>
          </cell>
          <cell r="N65">
            <v>216.3</v>
          </cell>
          <cell r="O65">
            <v>110.25</v>
          </cell>
        </row>
        <row r="66">
          <cell r="D66">
            <v>264.5</v>
          </cell>
          <cell r="E66">
            <v>2003.15</v>
          </cell>
          <cell r="G66">
            <v>2164.4699999999998</v>
          </cell>
          <cell r="H66">
            <v>73.13</v>
          </cell>
          <cell r="J66">
            <v>32.590000000000003</v>
          </cell>
          <cell r="K66">
            <v>300.91000000000003</v>
          </cell>
          <cell r="L66">
            <v>224.5</v>
          </cell>
          <cell r="M66">
            <v>231.2</v>
          </cell>
          <cell r="N66">
            <v>764.7</v>
          </cell>
          <cell r="O66">
            <v>227.96</v>
          </cell>
        </row>
        <row r="67">
          <cell r="D67">
            <v>71.09</v>
          </cell>
          <cell r="E67">
            <v>1071.93</v>
          </cell>
          <cell r="F67">
            <v>572.1</v>
          </cell>
          <cell r="G67">
            <v>2485.9</v>
          </cell>
          <cell r="H67">
            <v>399.65</v>
          </cell>
          <cell r="I67">
            <v>70.94</v>
          </cell>
          <cell r="J67">
            <v>21.53</v>
          </cell>
          <cell r="K67">
            <v>291.91000000000003</v>
          </cell>
          <cell r="L67">
            <v>165.88</v>
          </cell>
          <cell r="M67">
            <v>213.4</v>
          </cell>
          <cell r="N67">
            <v>250.4</v>
          </cell>
          <cell r="O67">
            <v>127.16</v>
          </cell>
        </row>
        <row r="68">
          <cell r="D68">
            <v>216.93</v>
          </cell>
          <cell r="E68">
            <v>1742.54</v>
          </cell>
          <cell r="G68">
            <v>2932.71</v>
          </cell>
          <cell r="H68">
            <v>117.24</v>
          </cell>
          <cell r="I68">
            <v>50.64</v>
          </cell>
          <cell r="J68">
            <v>20.82</v>
          </cell>
          <cell r="K68">
            <v>317.12</v>
          </cell>
          <cell r="L68">
            <v>284.52999999999997</v>
          </cell>
          <cell r="M68">
            <v>677.4</v>
          </cell>
          <cell r="N68">
            <v>224</v>
          </cell>
          <cell r="O68">
            <v>229.7</v>
          </cell>
        </row>
        <row r="69">
          <cell r="D69">
            <v>92.59</v>
          </cell>
          <cell r="E69">
            <v>376.04</v>
          </cell>
          <cell r="F69">
            <v>701.4</v>
          </cell>
          <cell r="H69">
            <v>116.16</v>
          </cell>
          <cell r="I69">
            <v>46.88</v>
          </cell>
          <cell r="J69">
            <v>32.18</v>
          </cell>
          <cell r="K69">
            <v>279.83999999999997</v>
          </cell>
          <cell r="L69">
            <v>342.89</v>
          </cell>
        </row>
        <row r="70">
          <cell r="D70">
            <v>109.18</v>
          </cell>
          <cell r="E70">
            <v>165.74</v>
          </cell>
          <cell r="F70">
            <v>738.4</v>
          </cell>
          <cell r="G70">
            <v>2528.6799999999998</v>
          </cell>
          <cell r="H70">
            <v>56.01</v>
          </cell>
          <cell r="I70">
            <v>51.02</v>
          </cell>
          <cell r="K70">
            <v>302.98</v>
          </cell>
          <cell r="L70">
            <v>533.66999999999996</v>
          </cell>
          <cell r="M70">
            <v>514.20000000000005</v>
          </cell>
          <cell r="N70">
            <v>396.5</v>
          </cell>
        </row>
        <row r="71">
          <cell r="D71">
            <v>85.4</v>
          </cell>
          <cell r="E71">
            <v>1031.3900000000001</v>
          </cell>
          <cell r="F71">
            <v>647</v>
          </cell>
          <cell r="H71">
            <v>1174.6300000000001</v>
          </cell>
          <cell r="I71">
            <v>47.43</v>
          </cell>
          <cell r="J71">
            <v>16.87</v>
          </cell>
          <cell r="K71">
            <v>332.99</v>
          </cell>
          <cell r="N71">
            <v>359.8</v>
          </cell>
          <cell r="O71">
            <v>156.34</v>
          </cell>
        </row>
        <row r="72">
          <cell r="F72">
            <v>628.70000000000005</v>
          </cell>
          <cell r="H72">
            <v>100.15</v>
          </cell>
          <cell r="I72">
            <v>47.57</v>
          </cell>
          <cell r="J72">
            <v>35.950000000000003</v>
          </cell>
          <cell r="L72">
            <v>239.91</v>
          </cell>
        </row>
        <row r="73">
          <cell r="D73">
            <v>65.680000000000007</v>
          </cell>
          <cell r="E73">
            <v>331.04</v>
          </cell>
          <cell r="F73">
            <v>654.20000000000005</v>
          </cell>
          <cell r="G73">
            <v>757.69</v>
          </cell>
          <cell r="H73">
            <v>79.13</v>
          </cell>
          <cell r="I73">
            <v>45.53</v>
          </cell>
          <cell r="J73">
            <v>33.659999999999997</v>
          </cell>
          <cell r="K73">
            <v>278.25</v>
          </cell>
          <cell r="L73">
            <v>255.53</v>
          </cell>
        </row>
        <row r="74">
          <cell r="D74">
            <v>59.76</v>
          </cell>
          <cell r="F74">
            <v>526.1</v>
          </cell>
          <cell r="G74">
            <v>766.86</v>
          </cell>
          <cell r="H74">
            <v>1107.1300000000001</v>
          </cell>
          <cell r="I74">
            <v>47.98</v>
          </cell>
          <cell r="J74">
            <v>17.02</v>
          </cell>
          <cell r="K74">
            <v>296.58999999999997</v>
          </cell>
          <cell r="L74">
            <v>787.7</v>
          </cell>
          <cell r="M74">
            <v>205</v>
          </cell>
        </row>
        <row r="75">
          <cell r="D75">
            <v>95.51</v>
          </cell>
          <cell r="F75">
            <v>615.79999999999995</v>
          </cell>
          <cell r="G75">
            <v>803.95</v>
          </cell>
          <cell r="H75">
            <v>80.8</v>
          </cell>
          <cell r="I75">
            <v>42.82</v>
          </cell>
          <cell r="J75">
            <v>24.42</v>
          </cell>
          <cell r="K75">
            <v>272.56</v>
          </cell>
          <cell r="M75">
            <v>241.9</v>
          </cell>
          <cell r="O75">
            <v>262.72000000000003</v>
          </cell>
        </row>
        <row r="76">
          <cell r="D76">
            <v>48.21</v>
          </cell>
          <cell r="F76">
            <v>660.8</v>
          </cell>
          <cell r="H76">
            <v>56.9</v>
          </cell>
          <cell r="I76">
            <v>74.13</v>
          </cell>
          <cell r="J76">
            <v>18.149999999999999</v>
          </cell>
          <cell r="K76">
            <v>382.01</v>
          </cell>
          <cell r="L76">
            <v>219.8</v>
          </cell>
          <cell r="M76">
            <v>197.6</v>
          </cell>
          <cell r="O76">
            <v>161.13</v>
          </cell>
        </row>
        <row r="77">
          <cell r="D77">
            <v>75</v>
          </cell>
          <cell r="E77">
            <v>1042.97</v>
          </cell>
          <cell r="F77">
            <v>724.5</v>
          </cell>
          <cell r="I77">
            <v>102.27</v>
          </cell>
          <cell r="J77">
            <v>19.32</v>
          </cell>
          <cell r="K77">
            <v>280.66000000000003</v>
          </cell>
          <cell r="L77">
            <v>201.54</v>
          </cell>
          <cell r="M77">
            <v>197.8</v>
          </cell>
          <cell r="O77">
            <v>169.34</v>
          </cell>
        </row>
        <row r="78">
          <cell r="D78">
            <v>80.09</v>
          </cell>
          <cell r="E78">
            <v>321.36</v>
          </cell>
          <cell r="F78">
            <v>664.1</v>
          </cell>
          <cell r="G78">
            <v>812.43</v>
          </cell>
          <cell r="H78">
            <v>91.82</v>
          </cell>
          <cell r="I78">
            <v>45.87</v>
          </cell>
          <cell r="J78">
            <v>26.03</v>
          </cell>
          <cell r="K78">
            <v>280.36</v>
          </cell>
          <cell r="L78">
            <v>272.38</v>
          </cell>
        </row>
        <row r="79">
          <cell r="D79">
            <v>68.599999999999994</v>
          </cell>
          <cell r="E79">
            <v>340.09</v>
          </cell>
          <cell r="F79">
            <v>674.8</v>
          </cell>
          <cell r="G79">
            <v>902.6</v>
          </cell>
          <cell r="H79">
            <v>105.2</v>
          </cell>
          <cell r="I79">
            <v>45.18</v>
          </cell>
          <cell r="J79">
            <v>31.12</v>
          </cell>
          <cell r="K79">
            <v>279.83999999999997</v>
          </cell>
          <cell r="L79">
            <v>302.42</v>
          </cell>
        </row>
      </sheetData>
      <sheetData sheetId="1"/>
      <sheetData sheetId="2"/>
      <sheetData sheetId="3">
        <row r="2">
          <cell r="E2">
            <v>5.54</v>
          </cell>
          <cell r="F2">
            <v>51.73</v>
          </cell>
          <cell r="G2">
            <v>185.49</v>
          </cell>
          <cell r="H2">
            <v>9.8699999999999992</v>
          </cell>
          <cell r="J2">
            <v>83.52</v>
          </cell>
          <cell r="K2">
            <v>78.2</v>
          </cell>
          <cell r="L2">
            <v>35.31</v>
          </cell>
          <cell r="O2">
            <v>65.41</v>
          </cell>
          <cell r="P2">
            <v>501.61</v>
          </cell>
        </row>
        <row r="3">
          <cell r="E3">
            <v>2.2999999999999998</v>
          </cell>
          <cell r="F3">
            <v>94.72</v>
          </cell>
          <cell r="G3">
            <v>194.67</v>
          </cell>
          <cell r="I3">
            <v>42.7</v>
          </cell>
          <cell r="J3">
            <v>52.31</v>
          </cell>
          <cell r="K3">
            <v>259.47000000000003</v>
          </cell>
          <cell r="L3">
            <v>53.13</v>
          </cell>
          <cell r="M3">
            <v>43.45</v>
          </cell>
          <cell r="N3">
            <v>5.76</v>
          </cell>
          <cell r="O3">
            <v>25.99</v>
          </cell>
          <cell r="P3">
            <v>504.83</v>
          </cell>
          <cell r="Q3">
            <v>982.22799999999995</v>
          </cell>
        </row>
        <row r="4">
          <cell r="E4">
            <v>1.58</v>
          </cell>
          <cell r="F4">
            <v>50.42</v>
          </cell>
          <cell r="H4">
            <v>2.35</v>
          </cell>
          <cell r="I4">
            <v>34.43</v>
          </cell>
          <cell r="J4">
            <v>88.65</v>
          </cell>
          <cell r="L4">
            <v>39.78</v>
          </cell>
          <cell r="M4">
            <v>35.630000000000003</v>
          </cell>
          <cell r="N4">
            <v>4.29</v>
          </cell>
          <cell r="O4">
            <v>133.46</v>
          </cell>
          <cell r="P4">
            <v>501.16</v>
          </cell>
          <cell r="Q4">
            <v>996.86</v>
          </cell>
        </row>
        <row r="5">
          <cell r="E5">
            <v>7.86</v>
          </cell>
          <cell r="F5">
            <v>11.37</v>
          </cell>
          <cell r="G5">
            <v>173.9</v>
          </cell>
          <cell r="Q5">
            <v>899.72400000000005</v>
          </cell>
        </row>
        <row r="6">
          <cell r="G6">
            <v>177.89</v>
          </cell>
          <cell r="J6">
            <v>101.07</v>
          </cell>
          <cell r="L6">
            <v>47.85</v>
          </cell>
          <cell r="N6">
            <v>4.17</v>
          </cell>
          <cell r="O6">
            <v>60.91</v>
          </cell>
          <cell r="P6">
            <v>506.13</v>
          </cell>
          <cell r="Q6">
            <v>886.39700000000005</v>
          </cell>
        </row>
        <row r="7">
          <cell r="E7">
            <v>5.53</v>
          </cell>
          <cell r="F7">
            <v>9.61</v>
          </cell>
          <cell r="K7">
            <v>10.62</v>
          </cell>
          <cell r="P7">
            <v>503.16</v>
          </cell>
          <cell r="Q7">
            <v>854.15</v>
          </cell>
        </row>
        <row r="8">
          <cell r="E8">
            <v>13.8</v>
          </cell>
          <cell r="F8">
            <v>199.89</v>
          </cell>
          <cell r="G8">
            <v>182.92</v>
          </cell>
          <cell r="H8">
            <v>37.17</v>
          </cell>
          <cell r="O8">
            <v>18.21</v>
          </cell>
          <cell r="P8">
            <v>533.51</v>
          </cell>
        </row>
        <row r="9">
          <cell r="E9">
            <v>7.01</v>
          </cell>
          <cell r="F9">
            <v>14.92</v>
          </cell>
          <cell r="G9">
            <v>186.53</v>
          </cell>
          <cell r="H9">
            <v>3.34</v>
          </cell>
          <cell r="K9">
            <v>9.1300000000000008</v>
          </cell>
          <cell r="L9">
            <v>37.5</v>
          </cell>
          <cell r="M9">
            <v>45.48</v>
          </cell>
          <cell r="Q9">
            <v>996.18100000000004</v>
          </cell>
        </row>
        <row r="10">
          <cell r="E10">
            <v>6.09</v>
          </cell>
          <cell r="F10">
            <v>4.92</v>
          </cell>
          <cell r="H10">
            <v>2.85</v>
          </cell>
          <cell r="K10">
            <v>3.9</v>
          </cell>
          <cell r="N10">
            <v>4.29</v>
          </cell>
          <cell r="O10">
            <v>128.26</v>
          </cell>
          <cell r="P10">
            <v>506</v>
          </cell>
        </row>
        <row r="11">
          <cell r="E11">
            <v>3.91</v>
          </cell>
          <cell r="F11">
            <v>75.099999999999994</v>
          </cell>
          <cell r="G11">
            <v>172.71</v>
          </cell>
          <cell r="I11">
            <v>42.08</v>
          </cell>
          <cell r="J11">
            <v>72.63</v>
          </cell>
          <cell r="K11">
            <v>121.21</v>
          </cell>
          <cell r="N11">
            <v>4.1100000000000003</v>
          </cell>
          <cell r="O11">
            <v>47.69</v>
          </cell>
          <cell r="P11">
            <v>506.55</v>
          </cell>
          <cell r="Q11">
            <v>928.61400000000003</v>
          </cell>
        </row>
        <row r="12">
          <cell r="E12">
            <v>3.36</v>
          </cell>
          <cell r="F12">
            <v>102.48</v>
          </cell>
          <cell r="H12">
            <v>50.95</v>
          </cell>
          <cell r="I12">
            <v>53.81</v>
          </cell>
          <cell r="J12">
            <v>591.87</v>
          </cell>
          <cell r="L12">
            <v>40.65</v>
          </cell>
          <cell r="M12">
            <v>44.43</v>
          </cell>
          <cell r="N12">
            <v>5.44</v>
          </cell>
          <cell r="O12">
            <v>70.63</v>
          </cell>
          <cell r="P12">
            <v>506.26</v>
          </cell>
        </row>
        <row r="13">
          <cell r="E13">
            <v>6.78</v>
          </cell>
          <cell r="F13">
            <v>40.409999999999997</v>
          </cell>
          <cell r="G13">
            <v>183.43</v>
          </cell>
          <cell r="H13">
            <v>2.09</v>
          </cell>
          <cell r="J13">
            <v>63.95</v>
          </cell>
          <cell r="K13">
            <v>12.87</v>
          </cell>
          <cell r="O13">
            <v>107.27</v>
          </cell>
          <cell r="P13">
            <v>510.79</v>
          </cell>
          <cell r="Q13">
            <v>867.74699999999996</v>
          </cell>
        </row>
        <row r="14">
          <cell r="E14">
            <v>8.7799999999999994</v>
          </cell>
          <cell r="F14">
            <v>71.790000000000006</v>
          </cell>
          <cell r="I14">
            <v>8.15</v>
          </cell>
          <cell r="J14">
            <v>216.44</v>
          </cell>
          <cell r="K14">
            <v>9.9499999999999993</v>
          </cell>
          <cell r="L14">
            <v>40.840000000000003</v>
          </cell>
          <cell r="M14">
            <v>36.729999999999997</v>
          </cell>
          <cell r="N14">
            <v>4.62</v>
          </cell>
          <cell r="O14">
            <v>43.94</v>
          </cell>
          <cell r="P14">
            <v>506.9</v>
          </cell>
        </row>
        <row r="15">
          <cell r="E15">
            <v>3.62</v>
          </cell>
          <cell r="F15">
            <v>4.05</v>
          </cell>
          <cell r="G15">
            <v>185.67</v>
          </cell>
          <cell r="H15">
            <v>0.85</v>
          </cell>
          <cell r="J15">
            <v>25.57</v>
          </cell>
          <cell r="K15">
            <v>4.76</v>
          </cell>
          <cell r="N15">
            <v>4.21</v>
          </cell>
          <cell r="O15">
            <v>54.37</v>
          </cell>
          <cell r="P15">
            <v>515.74</v>
          </cell>
          <cell r="Q15">
            <v>862.43600000000004</v>
          </cell>
        </row>
        <row r="16">
          <cell r="E16">
            <v>0.98</v>
          </cell>
          <cell r="F16">
            <v>33.65</v>
          </cell>
          <cell r="H16">
            <v>22.62</v>
          </cell>
          <cell r="J16">
            <v>53.55</v>
          </cell>
          <cell r="N16">
            <v>4.09</v>
          </cell>
          <cell r="O16">
            <v>25.17</v>
          </cell>
          <cell r="P16">
            <v>499.19</v>
          </cell>
          <cell r="Q16">
            <v>983.42200000000003</v>
          </cell>
        </row>
        <row r="17">
          <cell r="E17">
            <v>11.12</v>
          </cell>
          <cell r="F17">
            <v>14.94</v>
          </cell>
          <cell r="H17">
            <v>3.67</v>
          </cell>
          <cell r="I17">
            <v>17.010000000000002</v>
          </cell>
          <cell r="M17">
            <v>43.46</v>
          </cell>
        </row>
        <row r="18">
          <cell r="E18">
            <v>19.11</v>
          </cell>
          <cell r="H18">
            <v>17.07</v>
          </cell>
          <cell r="I18">
            <v>30.55</v>
          </cell>
          <cell r="J18">
            <v>110</v>
          </cell>
          <cell r="K18">
            <v>284.56</v>
          </cell>
        </row>
        <row r="19">
          <cell r="E19">
            <v>11.66</v>
          </cell>
          <cell r="F19">
            <v>12.73</v>
          </cell>
          <cell r="G19">
            <v>186.78</v>
          </cell>
          <cell r="H19">
            <v>2.5099999999999998</v>
          </cell>
          <cell r="I19">
            <v>4.6399999999999997</v>
          </cell>
          <cell r="J19">
            <v>61.87</v>
          </cell>
          <cell r="K19">
            <v>65.59</v>
          </cell>
          <cell r="N19">
            <v>4.47</v>
          </cell>
          <cell r="P19">
            <v>512.94000000000005</v>
          </cell>
          <cell r="Q19">
            <v>956.67499999999995</v>
          </cell>
        </row>
        <row r="20">
          <cell r="E20">
            <v>6.45</v>
          </cell>
          <cell r="F20">
            <v>5.85</v>
          </cell>
          <cell r="G20">
            <v>198.85</v>
          </cell>
          <cell r="H20">
            <v>0.93</v>
          </cell>
          <cell r="K20">
            <v>1.1399999999999999</v>
          </cell>
          <cell r="L20">
            <v>40.65</v>
          </cell>
          <cell r="N20">
            <v>4.58</v>
          </cell>
          <cell r="O20">
            <v>15.73</v>
          </cell>
          <cell r="P20">
            <v>502.92</v>
          </cell>
          <cell r="Q20">
            <v>841.41899999999998</v>
          </cell>
        </row>
        <row r="21">
          <cell r="E21">
            <v>6.12</v>
          </cell>
          <cell r="F21">
            <v>33.86</v>
          </cell>
          <cell r="G21">
            <v>185.43</v>
          </cell>
          <cell r="J21">
            <v>141.85</v>
          </cell>
          <cell r="L21">
            <v>42.1</v>
          </cell>
          <cell r="N21">
            <v>4.16</v>
          </cell>
          <cell r="O21">
            <v>74.27</v>
          </cell>
          <cell r="P21">
            <v>522.34</v>
          </cell>
        </row>
        <row r="22">
          <cell r="E22">
            <v>7.62</v>
          </cell>
          <cell r="Q22">
            <v>897.94600000000003</v>
          </cell>
        </row>
        <row r="23">
          <cell r="E23">
            <v>9.44</v>
          </cell>
          <cell r="F23">
            <v>22.29</v>
          </cell>
          <cell r="G23">
            <v>209.19</v>
          </cell>
          <cell r="H23">
            <v>2.65</v>
          </cell>
          <cell r="J23">
            <v>85.47</v>
          </cell>
          <cell r="K23">
            <v>3.18</v>
          </cell>
          <cell r="L23">
            <v>34.130000000000003</v>
          </cell>
          <cell r="M23">
            <v>51.89</v>
          </cell>
          <cell r="P23">
            <v>504.74</v>
          </cell>
        </row>
        <row r="24">
          <cell r="E24">
            <v>14.87</v>
          </cell>
          <cell r="F24">
            <v>129.97</v>
          </cell>
          <cell r="G24">
            <v>176.11</v>
          </cell>
          <cell r="H24">
            <v>5.27</v>
          </cell>
          <cell r="J24">
            <v>67.38</v>
          </cell>
          <cell r="L24">
            <v>39.19</v>
          </cell>
          <cell r="N24">
            <v>4.5199999999999996</v>
          </cell>
          <cell r="P24">
            <v>503.7</v>
          </cell>
        </row>
        <row r="25">
          <cell r="E25">
            <v>8.09</v>
          </cell>
          <cell r="F25">
            <v>18.38</v>
          </cell>
          <cell r="J25">
            <v>80.099999999999994</v>
          </cell>
          <cell r="L25">
            <v>46.6</v>
          </cell>
        </row>
        <row r="26">
          <cell r="E26">
            <v>4.3099999999999996</v>
          </cell>
          <cell r="F26">
            <v>44.99</v>
          </cell>
          <cell r="G26">
            <v>167.09</v>
          </cell>
          <cell r="H26">
            <v>6.6</v>
          </cell>
          <cell r="N26">
            <v>4.1100000000000003</v>
          </cell>
          <cell r="Q26">
            <v>782.51</v>
          </cell>
        </row>
        <row r="27">
          <cell r="E27">
            <v>8.41</v>
          </cell>
          <cell r="F27">
            <v>10.66</v>
          </cell>
          <cell r="G27">
            <v>178.09</v>
          </cell>
          <cell r="H27">
            <v>26.47</v>
          </cell>
          <cell r="I27">
            <v>13.38</v>
          </cell>
          <cell r="K27">
            <v>7.31</v>
          </cell>
          <cell r="L27">
            <v>44.98</v>
          </cell>
          <cell r="M27">
            <v>49.23</v>
          </cell>
          <cell r="N27">
            <v>4.5199999999999996</v>
          </cell>
          <cell r="P27">
            <v>501.06</v>
          </cell>
        </row>
        <row r="28">
          <cell r="E28">
            <v>4.1399999999999997</v>
          </cell>
          <cell r="F28">
            <v>121.98</v>
          </cell>
          <cell r="I28">
            <v>73.239999999999995</v>
          </cell>
          <cell r="J28">
            <v>83.6</v>
          </cell>
          <cell r="M28">
            <v>57.07</v>
          </cell>
          <cell r="O28">
            <v>57.34</v>
          </cell>
          <cell r="P28">
            <v>511.26</v>
          </cell>
        </row>
        <row r="29">
          <cell r="E29">
            <v>7.37</v>
          </cell>
          <cell r="F29">
            <v>30.59</v>
          </cell>
        </row>
        <row r="30">
          <cell r="E30">
            <v>9.2899999999999991</v>
          </cell>
          <cell r="F30">
            <v>9.1999999999999993</v>
          </cell>
          <cell r="J30">
            <v>54.11</v>
          </cell>
          <cell r="L30">
            <v>42.77</v>
          </cell>
          <cell r="Q30">
            <v>890.83799999999997</v>
          </cell>
        </row>
        <row r="31">
          <cell r="E31">
            <v>1.1000000000000001</v>
          </cell>
          <cell r="F31">
            <v>26.6</v>
          </cell>
          <cell r="G31">
            <v>207.42</v>
          </cell>
          <cell r="H31">
            <v>1.56</v>
          </cell>
          <cell r="I31">
            <v>12.04</v>
          </cell>
          <cell r="J31">
            <v>129.83000000000001</v>
          </cell>
          <cell r="K31">
            <v>3.14</v>
          </cell>
          <cell r="L31">
            <v>37.5</v>
          </cell>
          <cell r="M31">
            <v>56.21</v>
          </cell>
          <cell r="N31">
            <v>5.97</v>
          </cell>
          <cell r="O31">
            <v>41.51</v>
          </cell>
          <cell r="P31">
            <v>500.68</v>
          </cell>
          <cell r="Q31">
            <v>880.04499999999996</v>
          </cell>
        </row>
        <row r="32">
          <cell r="E32">
            <v>9.2899999999999991</v>
          </cell>
          <cell r="F32">
            <v>14.43</v>
          </cell>
          <cell r="I32">
            <v>29.04</v>
          </cell>
          <cell r="K32">
            <v>285.89999999999998</v>
          </cell>
          <cell r="L32">
            <v>45.72</v>
          </cell>
          <cell r="N32">
            <v>4.58</v>
          </cell>
          <cell r="O32">
            <v>86.06</v>
          </cell>
          <cell r="P32">
            <v>508.34</v>
          </cell>
        </row>
        <row r="33">
          <cell r="E33">
            <v>4.9400000000000004</v>
          </cell>
          <cell r="F33">
            <v>30.89</v>
          </cell>
          <cell r="I33">
            <v>21.84</v>
          </cell>
          <cell r="M33">
            <v>48.39</v>
          </cell>
          <cell r="P33">
            <v>490.48</v>
          </cell>
          <cell r="Q33">
            <v>955.11599999999999</v>
          </cell>
        </row>
        <row r="34">
          <cell r="E34">
            <v>13.35</v>
          </cell>
          <cell r="F34">
            <v>9.1999999999999993</v>
          </cell>
          <cell r="J34">
            <v>64.599999999999994</v>
          </cell>
          <cell r="K34">
            <v>40.520000000000003</v>
          </cell>
          <cell r="N34">
            <v>4.5599999999999996</v>
          </cell>
          <cell r="O34">
            <v>115.23</v>
          </cell>
          <cell r="P34">
            <v>509.68</v>
          </cell>
          <cell r="Q34">
            <v>852.46299999999997</v>
          </cell>
        </row>
        <row r="35">
          <cell r="E35">
            <v>8.1300000000000008</v>
          </cell>
          <cell r="F35">
            <v>19.2</v>
          </cell>
          <cell r="K35">
            <v>27.53</v>
          </cell>
          <cell r="N35">
            <v>5.27</v>
          </cell>
        </row>
        <row r="36">
          <cell r="E36">
            <v>9.18</v>
          </cell>
          <cell r="F36">
            <v>28.78</v>
          </cell>
          <cell r="H36">
            <v>4.25</v>
          </cell>
          <cell r="O36">
            <v>13.89</v>
          </cell>
          <cell r="Q36">
            <v>962.351</v>
          </cell>
        </row>
        <row r="37">
          <cell r="E37">
            <v>6.01</v>
          </cell>
          <cell r="F37">
            <v>24.17</v>
          </cell>
          <cell r="H37">
            <v>5.62</v>
          </cell>
          <cell r="I37">
            <v>18.36</v>
          </cell>
          <cell r="M37">
            <v>41.73</v>
          </cell>
          <cell r="O37">
            <v>27.68</v>
          </cell>
        </row>
        <row r="38">
          <cell r="E38">
            <v>8.57</v>
          </cell>
          <cell r="F38">
            <v>110.68</v>
          </cell>
          <cell r="G38">
            <v>184.71</v>
          </cell>
          <cell r="H38">
            <v>10.029999999999999</v>
          </cell>
          <cell r="I38">
            <v>7.54</v>
          </cell>
          <cell r="J38">
            <v>210.16</v>
          </cell>
          <cell r="K38">
            <v>206.17</v>
          </cell>
          <cell r="N38">
            <v>4.8600000000000003</v>
          </cell>
          <cell r="O38">
            <v>12.86</v>
          </cell>
          <cell r="P38">
            <v>512.17999999999995</v>
          </cell>
          <cell r="Q38">
            <v>897.58</v>
          </cell>
        </row>
        <row r="39">
          <cell r="E39">
            <v>1.56</v>
          </cell>
          <cell r="F39">
            <v>106.49</v>
          </cell>
          <cell r="G39">
            <v>184.94</v>
          </cell>
          <cell r="K39">
            <v>7.91</v>
          </cell>
        </row>
        <row r="40">
          <cell r="E40">
            <v>34.090000000000003</v>
          </cell>
          <cell r="F40">
            <v>13.07</v>
          </cell>
          <cell r="I40">
            <v>31.08</v>
          </cell>
          <cell r="M40">
            <v>47.63</v>
          </cell>
          <cell r="O40">
            <v>49.21</v>
          </cell>
          <cell r="P40">
            <v>509.25</v>
          </cell>
        </row>
        <row r="41">
          <cell r="E41">
            <v>6.59</v>
          </cell>
          <cell r="G41">
            <v>188.21</v>
          </cell>
          <cell r="K41">
            <v>4.82</v>
          </cell>
          <cell r="L41">
            <v>36.51</v>
          </cell>
          <cell r="O41">
            <v>28.41</v>
          </cell>
          <cell r="P41">
            <v>496.96</v>
          </cell>
        </row>
        <row r="42">
          <cell r="E42">
            <v>5.67</v>
          </cell>
          <cell r="F42">
            <v>53.62</v>
          </cell>
          <cell r="G42">
            <v>192.19</v>
          </cell>
          <cell r="H42">
            <v>1.05</v>
          </cell>
          <cell r="J42">
            <v>96.54</v>
          </cell>
          <cell r="L42">
            <v>40.4</v>
          </cell>
          <cell r="N42">
            <v>4.3</v>
          </cell>
          <cell r="O42">
            <v>75.55</v>
          </cell>
          <cell r="P42">
            <v>510.23</v>
          </cell>
          <cell r="Q42">
            <v>948.01099999999997</v>
          </cell>
        </row>
        <row r="43">
          <cell r="F43">
            <v>32.26</v>
          </cell>
          <cell r="H43">
            <v>1.48</v>
          </cell>
          <cell r="M43">
            <v>43.47</v>
          </cell>
          <cell r="P43">
            <v>482.62</v>
          </cell>
        </row>
        <row r="44">
          <cell r="E44">
            <v>0.83</v>
          </cell>
          <cell r="G44">
            <v>181.14</v>
          </cell>
          <cell r="I44">
            <v>12.76</v>
          </cell>
          <cell r="J44">
            <v>54.65</v>
          </cell>
          <cell r="M44">
            <v>34.97</v>
          </cell>
          <cell r="N44">
            <v>4.1100000000000003</v>
          </cell>
          <cell r="O44">
            <v>17.059999999999999</v>
          </cell>
          <cell r="P44">
            <v>502.75</v>
          </cell>
          <cell r="Q44">
            <v>933.81100000000004</v>
          </cell>
        </row>
        <row r="45">
          <cell r="E45">
            <v>5.56</v>
          </cell>
          <cell r="F45">
            <v>8.6300000000000008</v>
          </cell>
          <cell r="G45">
            <v>177.81</v>
          </cell>
          <cell r="H45">
            <v>2.35</v>
          </cell>
          <cell r="J45">
            <v>78.97</v>
          </cell>
          <cell r="K45">
            <v>8.68</v>
          </cell>
          <cell r="M45">
            <v>45.47</v>
          </cell>
          <cell r="N45">
            <v>3.94</v>
          </cell>
          <cell r="O45">
            <v>97.7</v>
          </cell>
          <cell r="P45">
            <v>496.68</v>
          </cell>
          <cell r="Q45">
            <v>903.15700000000004</v>
          </cell>
        </row>
        <row r="46">
          <cell r="E46">
            <v>14.9</v>
          </cell>
          <cell r="F46">
            <v>42.58</v>
          </cell>
          <cell r="G46">
            <v>183.81</v>
          </cell>
          <cell r="H46">
            <v>10.65</v>
          </cell>
          <cell r="I46">
            <v>24.76</v>
          </cell>
          <cell r="J46">
            <v>61.68</v>
          </cell>
          <cell r="K46">
            <v>32.4</v>
          </cell>
          <cell r="L46">
            <v>42.06</v>
          </cell>
          <cell r="N46">
            <v>4.3099999999999996</v>
          </cell>
          <cell r="O46">
            <v>21.23</v>
          </cell>
          <cell r="P46">
            <v>501.97</v>
          </cell>
          <cell r="Q46">
            <v>981.83</v>
          </cell>
        </row>
        <row r="47">
          <cell r="E47">
            <v>20.94</v>
          </cell>
          <cell r="F47">
            <v>48.57</v>
          </cell>
          <cell r="H47">
            <v>0.36</v>
          </cell>
          <cell r="J47">
            <v>150.9</v>
          </cell>
        </row>
        <row r="48">
          <cell r="E48">
            <v>5.75</v>
          </cell>
          <cell r="F48">
            <v>24.99</v>
          </cell>
          <cell r="G48">
            <v>157.59</v>
          </cell>
          <cell r="J48">
            <v>18.350000000000001</v>
          </cell>
          <cell r="N48">
            <v>3.92</v>
          </cell>
          <cell r="P48">
            <v>500.32</v>
          </cell>
          <cell r="Q48">
            <v>911.79600000000005</v>
          </cell>
        </row>
        <row r="49">
          <cell r="E49">
            <v>8.24</v>
          </cell>
          <cell r="F49">
            <v>7.21</v>
          </cell>
          <cell r="H49">
            <v>8.44</v>
          </cell>
          <cell r="L49">
            <v>42.91</v>
          </cell>
          <cell r="P49">
            <v>484.34</v>
          </cell>
        </row>
        <row r="50">
          <cell r="P50">
            <v>506.37</v>
          </cell>
          <cell r="Q50">
            <v>830.99300000000005</v>
          </cell>
        </row>
        <row r="51">
          <cell r="E51">
            <v>3.85</v>
          </cell>
          <cell r="F51">
            <v>36.159999999999997</v>
          </cell>
          <cell r="H51">
            <v>7.45</v>
          </cell>
          <cell r="I51">
            <v>13.32</v>
          </cell>
          <cell r="J51">
            <v>155.56</v>
          </cell>
          <cell r="L51">
            <v>35.64</v>
          </cell>
          <cell r="O51">
            <v>15.12</v>
          </cell>
          <cell r="P51">
            <v>552.45000000000005</v>
          </cell>
        </row>
        <row r="52">
          <cell r="E52">
            <v>4.97</v>
          </cell>
          <cell r="F52">
            <v>112.36</v>
          </cell>
          <cell r="H52">
            <v>7.05</v>
          </cell>
          <cell r="I52">
            <v>470.33</v>
          </cell>
          <cell r="L52">
            <v>42.22</v>
          </cell>
          <cell r="M52">
            <v>61.58</v>
          </cell>
          <cell r="N52">
            <v>4.8099999999999996</v>
          </cell>
          <cell r="O52">
            <v>160.05000000000001</v>
          </cell>
          <cell r="P52">
            <v>506.73</v>
          </cell>
        </row>
        <row r="53">
          <cell r="E53">
            <v>4.83</v>
          </cell>
          <cell r="F53">
            <v>45.67</v>
          </cell>
          <cell r="H53">
            <v>4.66</v>
          </cell>
          <cell r="J53">
            <v>145.91</v>
          </cell>
          <cell r="M53">
            <v>59.95</v>
          </cell>
        </row>
        <row r="54">
          <cell r="E54">
            <v>2.29</v>
          </cell>
          <cell r="F54">
            <v>10.25</v>
          </cell>
          <cell r="H54">
            <v>7.94</v>
          </cell>
          <cell r="I54">
            <v>24.91</v>
          </cell>
          <cell r="N54">
            <v>4.54</v>
          </cell>
        </row>
        <row r="55">
          <cell r="E55">
            <v>2.95</v>
          </cell>
          <cell r="F55">
            <v>3.71</v>
          </cell>
          <cell r="H55">
            <v>3.77</v>
          </cell>
          <cell r="I55">
            <v>43.93</v>
          </cell>
          <cell r="K55">
            <v>170.28</v>
          </cell>
          <cell r="N55">
            <v>3.87</v>
          </cell>
          <cell r="Q55">
            <v>979.11900000000003</v>
          </cell>
        </row>
        <row r="56">
          <cell r="E56">
            <v>1.08</v>
          </cell>
          <cell r="F56">
            <v>43.87</v>
          </cell>
          <cell r="I56">
            <v>23.46</v>
          </cell>
          <cell r="J56">
            <v>208.14</v>
          </cell>
          <cell r="L56">
            <v>45.15</v>
          </cell>
          <cell r="M56">
            <v>44.3</v>
          </cell>
          <cell r="N56">
            <v>4.4800000000000004</v>
          </cell>
          <cell r="O56">
            <v>20.059999999999999</v>
          </cell>
          <cell r="P56">
            <v>502.39</v>
          </cell>
          <cell r="Q56">
            <v>963.64400000000001</v>
          </cell>
        </row>
        <row r="57">
          <cell r="E57">
            <v>21.74</v>
          </cell>
          <cell r="G57">
            <v>174.63</v>
          </cell>
          <cell r="M57">
            <v>54.34</v>
          </cell>
          <cell r="N57">
            <v>4.3</v>
          </cell>
        </row>
        <row r="58">
          <cell r="E58">
            <v>32.07</v>
          </cell>
          <cell r="G58">
            <v>169.21</v>
          </cell>
          <cell r="I58">
            <v>22.48</v>
          </cell>
          <cell r="J58">
            <v>212.98</v>
          </cell>
          <cell r="K58">
            <v>25.85</v>
          </cell>
          <cell r="L58">
            <v>39.44</v>
          </cell>
          <cell r="M58">
            <v>43.22</v>
          </cell>
          <cell r="N58">
            <v>4.8600000000000003</v>
          </cell>
        </row>
        <row r="59">
          <cell r="E59">
            <v>8.39</v>
          </cell>
          <cell r="F59">
            <v>13.42</v>
          </cell>
          <cell r="K59">
            <v>36.49</v>
          </cell>
          <cell r="N59">
            <v>3.74</v>
          </cell>
        </row>
        <row r="60">
          <cell r="E60">
            <v>9.9</v>
          </cell>
          <cell r="L60">
            <v>40.159999999999997</v>
          </cell>
          <cell r="N60">
            <v>4.59</v>
          </cell>
          <cell r="O60">
            <v>74.739999999999995</v>
          </cell>
          <cell r="P60">
            <v>518</v>
          </cell>
        </row>
        <row r="61">
          <cell r="E61">
            <v>45.55</v>
          </cell>
          <cell r="F61">
            <v>18.850000000000001</v>
          </cell>
          <cell r="G61">
            <v>173.65</v>
          </cell>
          <cell r="L61">
            <v>39.35</v>
          </cell>
          <cell r="O61">
            <v>71.67</v>
          </cell>
          <cell r="P61">
            <v>514.04999999999995</v>
          </cell>
        </row>
        <row r="62">
          <cell r="E62">
            <v>5.34</v>
          </cell>
          <cell r="G62">
            <v>175.54</v>
          </cell>
          <cell r="J62">
            <v>264.45999999999998</v>
          </cell>
          <cell r="O62">
            <v>108.9</v>
          </cell>
          <cell r="P62">
            <v>483.43</v>
          </cell>
          <cell r="Q62">
            <v>798.30700000000002</v>
          </cell>
        </row>
        <row r="63">
          <cell r="E63">
            <v>6.13</v>
          </cell>
          <cell r="F63">
            <v>11.62</v>
          </cell>
          <cell r="G63">
            <v>176.06</v>
          </cell>
          <cell r="H63">
            <v>4.2699999999999996</v>
          </cell>
          <cell r="J63">
            <v>58.9</v>
          </cell>
          <cell r="K63">
            <v>20.48</v>
          </cell>
          <cell r="M63">
            <v>33.96</v>
          </cell>
          <cell r="O63">
            <v>16.489999999999998</v>
          </cell>
          <cell r="P63">
            <v>501.69</v>
          </cell>
        </row>
        <row r="64">
          <cell r="E64">
            <v>18.41</v>
          </cell>
          <cell r="G64">
            <v>189.74</v>
          </cell>
          <cell r="I64">
            <v>20.95</v>
          </cell>
          <cell r="J64">
            <v>81.41</v>
          </cell>
          <cell r="L64">
            <v>44.77</v>
          </cell>
          <cell r="M64">
            <v>44.59</v>
          </cell>
          <cell r="N64">
            <v>4.53</v>
          </cell>
          <cell r="O64">
            <v>22.36</v>
          </cell>
          <cell r="P64">
            <v>504.38</v>
          </cell>
        </row>
        <row r="65">
          <cell r="E65">
            <v>11.3</v>
          </cell>
          <cell r="F65">
            <v>36.71</v>
          </cell>
          <cell r="H65">
            <v>6.13</v>
          </cell>
          <cell r="J65">
            <v>453.59</v>
          </cell>
          <cell r="K65">
            <v>21.92</v>
          </cell>
          <cell r="L65">
            <v>47.13</v>
          </cell>
          <cell r="M65">
            <v>55.42</v>
          </cell>
          <cell r="P65">
            <v>490.23</v>
          </cell>
        </row>
        <row r="66">
          <cell r="E66">
            <v>10.38</v>
          </cell>
          <cell r="F66">
            <v>11.37</v>
          </cell>
          <cell r="G66">
            <v>162.96</v>
          </cell>
          <cell r="H66">
            <v>4.8899999999999997</v>
          </cell>
          <cell r="K66">
            <v>152.38</v>
          </cell>
          <cell r="L66">
            <v>43.13</v>
          </cell>
          <cell r="N66">
            <v>5.95</v>
          </cell>
          <cell r="O66">
            <v>202.82</v>
          </cell>
        </row>
        <row r="67">
          <cell r="E67">
            <v>17.760000000000002</v>
          </cell>
          <cell r="G67">
            <v>185.55</v>
          </cell>
          <cell r="I67">
            <v>21.35</v>
          </cell>
          <cell r="J67">
            <v>79.989999999999995</v>
          </cell>
          <cell r="L67">
            <v>45.13</v>
          </cell>
          <cell r="M67">
            <v>42.85</v>
          </cell>
          <cell r="N67">
            <v>4.37</v>
          </cell>
          <cell r="O67">
            <v>21.08</v>
          </cell>
          <cell r="P67">
            <v>503.46</v>
          </cell>
          <cell r="Q67">
            <v>995.89800000000002</v>
          </cell>
        </row>
        <row r="68">
          <cell r="E68">
            <v>9.01</v>
          </cell>
          <cell r="F68">
            <v>21.77</v>
          </cell>
          <cell r="G68">
            <v>165.53</v>
          </cell>
          <cell r="H68">
            <v>2.57</v>
          </cell>
          <cell r="I68">
            <v>27.81</v>
          </cell>
          <cell r="J68">
            <v>304.5</v>
          </cell>
          <cell r="K68">
            <v>2.2999999999999998</v>
          </cell>
          <cell r="O68">
            <v>53.85</v>
          </cell>
          <cell r="P68">
            <v>499.22</v>
          </cell>
          <cell r="Q68">
            <v>856.58299999999997</v>
          </cell>
        </row>
        <row r="69">
          <cell r="E69">
            <v>10.41</v>
          </cell>
          <cell r="F69">
            <v>48.21</v>
          </cell>
          <cell r="G69">
            <v>179.39</v>
          </cell>
          <cell r="H69">
            <v>14.09</v>
          </cell>
          <cell r="J69">
            <v>40.06</v>
          </cell>
          <cell r="K69">
            <v>49.48</v>
          </cell>
          <cell r="M69">
            <v>45.83</v>
          </cell>
          <cell r="O69">
            <v>38.950000000000003</v>
          </cell>
          <cell r="P69">
            <v>500.18</v>
          </cell>
          <cell r="Q69">
            <v>882.524</v>
          </cell>
        </row>
        <row r="70">
          <cell r="E70">
            <v>8.66</v>
          </cell>
          <cell r="F70">
            <v>5.42</v>
          </cell>
          <cell r="G70">
            <v>188.07</v>
          </cell>
          <cell r="I70">
            <v>25.43</v>
          </cell>
          <cell r="K70">
            <v>17.989999999999998</v>
          </cell>
          <cell r="L70">
            <v>45.2</v>
          </cell>
          <cell r="M70">
            <v>43.76</v>
          </cell>
          <cell r="N70">
            <v>4.84</v>
          </cell>
          <cell r="O70">
            <v>23.12</v>
          </cell>
          <cell r="P70">
            <v>504.54</v>
          </cell>
        </row>
        <row r="71">
          <cell r="E71">
            <v>11.13</v>
          </cell>
          <cell r="F71">
            <v>20.83</v>
          </cell>
          <cell r="N71">
            <v>5.0199999999999996</v>
          </cell>
          <cell r="Q71">
            <v>946.13599999999997</v>
          </cell>
        </row>
        <row r="72">
          <cell r="E72">
            <v>2.35</v>
          </cell>
          <cell r="F72">
            <v>26.88</v>
          </cell>
          <cell r="M72">
            <v>45.19</v>
          </cell>
          <cell r="P72">
            <v>486.56</v>
          </cell>
        </row>
        <row r="73">
          <cell r="E73">
            <v>9.2799999999999994</v>
          </cell>
          <cell r="F73">
            <v>9.89</v>
          </cell>
          <cell r="G73">
            <v>189.93</v>
          </cell>
          <cell r="I73">
            <v>25.35</v>
          </cell>
          <cell r="K73">
            <v>16.760000000000002</v>
          </cell>
          <cell r="L73">
            <v>45.71</v>
          </cell>
          <cell r="M73">
            <v>44.69</v>
          </cell>
          <cell r="N73">
            <v>4.8</v>
          </cell>
          <cell r="O73">
            <v>26.54</v>
          </cell>
          <cell r="P73">
            <v>505.23</v>
          </cell>
        </row>
        <row r="74">
          <cell r="E74">
            <v>3.19</v>
          </cell>
          <cell r="F74">
            <v>73.17</v>
          </cell>
          <cell r="G74">
            <v>182.34</v>
          </cell>
          <cell r="H74">
            <v>12.35</v>
          </cell>
          <cell r="I74">
            <v>31.25</v>
          </cell>
          <cell r="J74">
            <v>36.630000000000003</v>
          </cell>
          <cell r="K74">
            <v>2.86</v>
          </cell>
          <cell r="L74">
            <v>45.45</v>
          </cell>
          <cell r="M74">
            <v>43.72</v>
          </cell>
          <cell r="O74">
            <v>26.09</v>
          </cell>
          <cell r="P74">
            <v>501.14</v>
          </cell>
          <cell r="Q74">
            <v>921.572</v>
          </cell>
        </row>
        <row r="75">
          <cell r="E75">
            <v>2.16</v>
          </cell>
          <cell r="F75">
            <v>65.94</v>
          </cell>
          <cell r="I75">
            <v>30.73</v>
          </cell>
          <cell r="J75">
            <v>65.03</v>
          </cell>
          <cell r="K75">
            <v>218.28</v>
          </cell>
          <cell r="L75">
            <v>42.81</v>
          </cell>
          <cell r="N75">
            <v>4.58</v>
          </cell>
          <cell r="O75">
            <v>65.78</v>
          </cell>
          <cell r="P75">
            <v>505.51</v>
          </cell>
        </row>
        <row r="76">
          <cell r="E76">
            <v>2.5299999999999998</v>
          </cell>
          <cell r="F76">
            <v>62.72</v>
          </cell>
          <cell r="G76">
            <v>205.69</v>
          </cell>
          <cell r="I76">
            <v>44.34</v>
          </cell>
          <cell r="J76">
            <v>56.99</v>
          </cell>
          <cell r="K76">
            <v>8.15</v>
          </cell>
          <cell r="M76">
            <v>49.71</v>
          </cell>
          <cell r="N76">
            <v>3.8</v>
          </cell>
          <cell r="O76">
            <v>26.16</v>
          </cell>
          <cell r="P76">
            <v>510.25</v>
          </cell>
          <cell r="Q76">
            <v>982.66800000000001</v>
          </cell>
        </row>
        <row r="77">
          <cell r="E77">
            <v>17.68</v>
          </cell>
          <cell r="F77">
            <v>21.67</v>
          </cell>
          <cell r="H77">
            <v>19.07</v>
          </cell>
          <cell r="K77">
            <v>9.0399999999999991</v>
          </cell>
          <cell r="L77">
            <v>37.82</v>
          </cell>
          <cell r="M77">
            <v>54.75</v>
          </cell>
        </row>
        <row r="78">
          <cell r="E78">
            <v>9.73</v>
          </cell>
          <cell r="F78">
            <v>39.97</v>
          </cell>
          <cell r="G78">
            <v>193.56</v>
          </cell>
          <cell r="K78">
            <v>9.83</v>
          </cell>
          <cell r="L78">
            <v>41.1</v>
          </cell>
          <cell r="N78">
            <v>4.71</v>
          </cell>
          <cell r="O78">
            <v>62.31</v>
          </cell>
          <cell r="P78">
            <v>507.81</v>
          </cell>
        </row>
        <row r="79">
          <cell r="E79">
            <v>3.48</v>
          </cell>
          <cell r="F79">
            <v>33.74</v>
          </cell>
          <cell r="G79">
            <v>174.23</v>
          </cell>
          <cell r="H79">
            <v>0.82</v>
          </cell>
          <cell r="J79">
            <v>43.64</v>
          </cell>
          <cell r="M79">
            <v>42.01</v>
          </cell>
          <cell r="P79">
            <v>528.97</v>
          </cell>
        </row>
        <row r="80">
          <cell r="E80">
            <v>2.71</v>
          </cell>
          <cell r="F80">
            <v>63.46</v>
          </cell>
          <cell r="G80">
            <v>188.28</v>
          </cell>
          <cell r="H80">
            <v>2</v>
          </cell>
          <cell r="I80">
            <v>41.49</v>
          </cell>
          <cell r="J80">
            <v>67.290000000000006</v>
          </cell>
          <cell r="K80">
            <v>97.95</v>
          </cell>
          <cell r="L80">
            <v>40.090000000000003</v>
          </cell>
          <cell r="N80">
            <v>4.5</v>
          </cell>
          <cell r="O80">
            <v>114.48</v>
          </cell>
          <cell r="P80">
            <v>504.52</v>
          </cell>
          <cell r="Q80">
            <v>918.89700000000005</v>
          </cell>
        </row>
        <row r="81">
          <cell r="E81">
            <v>7.94</v>
          </cell>
          <cell r="H81">
            <v>3.43</v>
          </cell>
          <cell r="J81">
            <v>29.23</v>
          </cell>
          <cell r="K81">
            <v>2.79</v>
          </cell>
        </row>
        <row r="82">
          <cell r="F82">
            <v>82.92</v>
          </cell>
          <cell r="G82">
            <v>184.13</v>
          </cell>
          <cell r="H82">
            <v>0.79</v>
          </cell>
          <cell r="J82">
            <v>77.430000000000007</v>
          </cell>
          <cell r="L82">
            <v>41.66</v>
          </cell>
          <cell r="N82">
            <v>4.1900000000000004</v>
          </cell>
          <cell r="P82">
            <v>504.03</v>
          </cell>
        </row>
        <row r="83">
          <cell r="E83">
            <v>11.46</v>
          </cell>
          <cell r="F83">
            <v>29.34</v>
          </cell>
          <cell r="G83">
            <v>213.63</v>
          </cell>
          <cell r="I83">
            <v>14.5</v>
          </cell>
          <cell r="J83">
            <v>112.44</v>
          </cell>
          <cell r="O83">
            <v>52.07</v>
          </cell>
          <cell r="P83">
            <v>507.94</v>
          </cell>
          <cell r="Q83">
            <v>957.27700000000004</v>
          </cell>
        </row>
        <row r="84">
          <cell r="E84">
            <v>9.73</v>
          </cell>
          <cell r="F84">
            <v>7.07</v>
          </cell>
          <cell r="H84">
            <v>3.14</v>
          </cell>
          <cell r="J84">
            <v>67.08</v>
          </cell>
          <cell r="K84">
            <v>40.83</v>
          </cell>
          <cell r="L84">
            <v>41.92</v>
          </cell>
          <cell r="N84">
            <v>4.4000000000000004</v>
          </cell>
          <cell r="O84">
            <v>44.63</v>
          </cell>
          <cell r="P84">
            <v>517.28</v>
          </cell>
          <cell r="Q84">
            <v>936.88800000000003</v>
          </cell>
        </row>
        <row r="85">
          <cell r="F85">
            <v>60.65</v>
          </cell>
          <cell r="G85">
            <v>165.11</v>
          </cell>
          <cell r="H85">
            <v>4.22</v>
          </cell>
          <cell r="N85">
            <v>3.87</v>
          </cell>
          <cell r="P85">
            <v>519.79</v>
          </cell>
          <cell r="Q85">
            <v>893.34199999999998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00"/>
  <sheetViews>
    <sheetView tabSelected="1" workbookViewId="0">
      <selection activeCell="E26" sqref="E26"/>
    </sheetView>
  </sheetViews>
  <sheetFormatPr baseColWidth="10" defaultRowHeight="15" x14ac:dyDescent="0.25"/>
  <cols>
    <col min="1" max="1" width="22" customWidth="1"/>
    <col min="3" max="3" width="28" customWidth="1"/>
    <col min="4" max="5" width="24" customWidth="1"/>
    <col min="7" max="9" width="23" customWidth="1"/>
    <col min="12" max="12" width="28" customWidth="1"/>
    <col min="13" max="15" width="24" customWidth="1"/>
    <col min="16" max="18" width="23" customWidth="1"/>
    <col min="21" max="21" width="28" customWidth="1"/>
    <col min="22" max="24" width="24" customWidth="1"/>
    <col min="25" max="27" width="23" customWidth="1"/>
    <col min="30" max="30" width="28" customWidth="1"/>
    <col min="31" max="31" width="24" customWidth="1"/>
    <col min="34" max="36" width="23" customWidth="1"/>
  </cols>
  <sheetData>
    <row r="1" spans="1:5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S1" s="1"/>
      <c r="T1" s="1"/>
      <c r="U1" s="1"/>
      <c r="V1" s="1"/>
      <c r="W1" s="1"/>
      <c r="X1" s="1"/>
      <c r="AB1" s="1"/>
      <c r="AC1" s="1"/>
      <c r="AD1" s="1"/>
      <c r="AE1" s="1"/>
      <c r="AF1" s="1"/>
      <c r="AG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63"/>
      <c r="B2" s="66" t="s">
        <v>0</v>
      </c>
      <c r="C2" s="67"/>
      <c r="D2" s="67"/>
      <c r="E2" s="67"/>
      <c r="F2" s="67"/>
      <c r="G2" s="67"/>
      <c r="H2" s="67"/>
      <c r="I2" s="67"/>
      <c r="J2" s="67"/>
      <c r="K2" s="68"/>
      <c r="L2" s="68"/>
      <c r="M2" s="68"/>
      <c r="N2" s="68"/>
      <c r="O2" s="68"/>
      <c r="P2" s="69"/>
      <c r="Q2" s="69"/>
      <c r="R2" s="69"/>
      <c r="S2" s="68"/>
      <c r="T2" s="68"/>
      <c r="U2" s="68"/>
      <c r="V2" s="68"/>
      <c r="W2" s="68"/>
      <c r="X2" s="68"/>
      <c r="Y2" s="69"/>
      <c r="Z2" s="69"/>
      <c r="AA2" s="69"/>
      <c r="AB2" s="2"/>
      <c r="AC2" s="76" t="s">
        <v>1</v>
      </c>
      <c r="AD2" s="73"/>
      <c r="AE2" s="73"/>
      <c r="AF2" s="73"/>
      <c r="AG2" s="73"/>
      <c r="AH2" s="74"/>
      <c r="AI2" s="74"/>
      <c r="AJ2" s="74"/>
      <c r="AK2" s="3"/>
      <c r="AL2" s="4"/>
      <c r="AM2" s="4"/>
      <c r="AN2" s="79"/>
      <c r="AO2" s="80" t="s">
        <v>2</v>
      </c>
      <c r="AP2" s="81"/>
      <c r="AQ2" s="81"/>
      <c r="AR2" s="81"/>
      <c r="AS2" s="81"/>
      <c r="AT2" s="81"/>
      <c r="AU2" s="81"/>
      <c r="AV2" s="81"/>
      <c r="AW2" s="1"/>
      <c r="AX2" s="1"/>
      <c r="AY2" s="1"/>
    </row>
    <row r="3" spans="1:51" x14ac:dyDescent="0.25">
      <c r="A3" s="64"/>
      <c r="B3" s="70" t="s">
        <v>3</v>
      </c>
      <c r="C3" s="71"/>
      <c r="D3" s="71"/>
      <c r="E3" s="71"/>
      <c r="F3" s="71"/>
      <c r="G3" s="71"/>
      <c r="H3" s="71"/>
      <c r="I3" s="71"/>
      <c r="J3" s="3"/>
      <c r="K3" s="66" t="s">
        <v>4</v>
      </c>
      <c r="L3" s="72"/>
      <c r="M3" s="72"/>
      <c r="N3" s="73"/>
      <c r="O3" s="73"/>
      <c r="P3" s="74"/>
      <c r="Q3" s="74"/>
      <c r="R3" s="74"/>
      <c r="S3" s="6"/>
      <c r="T3" s="66" t="s">
        <v>5</v>
      </c>
      <c r="U3" s="72"/>
      <c r="V3" s="72"/>
      <c r="W3" s="75"/>
      <c r="X3" s="75"/>
      <c r="Y3" s="74"/>
      <c r="Z3" s="74"/>
      <c r="AA3" s="74"/>
      <c r="AB3" s="3"/>
      <c r="AC3" s="77"/>
      <c r="AD3" s="77"/>
      <c r="AE3" s="77"/>
      <c r="AF3" s="77"/>
      <c r="AG3" s="77"/>
      <c r="AH3" s="78"/>
      <c r="AI3" s="78"/>
      <c r="AJ3" s="78"/>
      <c r="AK3" s="3"/>
      <c r="AL3" s="4"/>
      <c r="AM3" s="4"/>
      <c r="AN3" s="64"/>
      <c r="AO3" s="82" t="s">
        <v>3</v>
      </c>
      <c r="AP3" s="65"/>
      <c r="AQ3" s="3"/>
      <c r="AR3" s="82" t="s">
        <v>4</v>
      </c>
      <c r="AS3" s="65"/>
      <c r="AT3" s="3"/>
      <c r="AU3" s="82" t="s">
        <v>5</v>
      </c>
      <c r="AV3" s="65"/>
      <c r="AW3" s="3"/>
      <c r="AX3" s="3"/>
      <c r="AY3" s="3"/>
    </row>
    <row r="4" spans="1:51" x14ac:dyDescent="0.25">
      <c r="A4" s="65"/>
      <c r="B4" s="5" t="s">
        <v>6</v>
      </c>
      <c r="C4" s="5" t="s">
        <v>7</v>
      </c>
      <c r="D4" s="5" t="s">
        <v>8</v>
      </c>
      <c r="E4" s="5" t="s">
        <v>730</v>
      </c>
      <c r="F4" s="5" t="s">
        <v>755</v>
      </c>
      <c r="G4" s="5" t="s">
        <v>756</v>
      </c>
      <c r="H4" s="5" t="s">
        <v>757</v>
      </c>
      <c r="I4" s="5" t="s">
        <v>758</v>
      </c>
      <c r="K4" s="5" t="s">
        <v>6</v>
      </c>
      <c r="L4" s="5" t="s">
        <v>7</v>
      </c>
      <c r="M4" s="5" t="s">
        <v>8</v>
      </c>
      <c r="N4" s="47" t="s">
        <v>730</v>
      </c>
      <c r="O4" s="47" t="s">
        <v>755</v>
      </c>
      <c r="P4" s="47" t="s">
        <v>756</v>
      </c>
      <c r="Q4" s="47" t="s">
        <v>757</v>
      </c>
      <c r="R4" s="47" t="s">
        <v>758</v>
      </c>
      <c r="S4" s="5"/>
      <c r="T4" s="5" t="s">
        <v>6</v>
      </c>
      <c r="U4" s="5" t="s">
        <v>7</v>
      </c>
      <c r="V4" s="5" t="s">
        <v>8</v>
      </c>
      <c r="W4" s="5" t="s">
        <v>730</v>
      </c>
      <c r="X4" s="5" t="s">
        <v>755</v>
      </c>
      <c r="Y4" s="47" t="s">
        <v>756</v>
      </c>
      <c r="Z4" s="47" t="s">
        <v>757</v>
      </c>
      <c r="AA4" s="47" t="s">
        <v>758</v>
      </c>
      <c r="AB4" s="5"/>
      <c r="AC4" s="5" t="s">
        <v>9</v>
      </c>
      <c r="AD4" s="5" t="s">
        <v>7</v>
      </c>
      <c r="AE4" s="5" t="s">
        <v>8</v>
      </c>
      <c r="AF4" s="5" t="s">
        <v>730</v>
      </c>
      <c r="AG4" s="5" t="s">
        <v>755</v>
      </c>
      <c r="AH4" s="47" t="s">
        <v>756</v>
      </c>
      <c r="AI4" s="47" t="s">
        <v>757</v>
      </c>
      <c r="AJ4" s="47" t="s">
        <v>758</v>
      </c>
      <c r="AK4" s="6"/>
      <c r="AL4" s="4"/>
      <c r="AM4" s="4"/>
      <c r="AN4" s="65"/>
      <c r="AO4" s="7" t="s">
        <v>10</v>
      </c>
      <c r="AP4" s="7" t="s">
        <v>11</v>
      </c>
      <c r="AQ4" s="7"/>
      <c r="AR4" s="7" t="s">
        <v>10</v>
      </c>
      <c r="AS4" s="7" t="s">
        <v>11</v>
      </c>
      <c r="AT4" s="7"/>
      <c r="AU4" s="7" t="s">
        <v>10</v>
      </c>
      <c r="AV4" s="7" t="s">
        <v>11</v>
      </c>
      <c r="AW4" s="1"/>
      <c r="AX4" s="1"/>
      <c r="AY4" s="1"/>
    </row>
    <row r="5" spans="1:51" x14ac:dyDescent="0.25">
      <c r="A5" s="8" t="s">
        <v>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S5" s="3"/>
      <c r="T5" s="3"/>
      <c r="U5" s="3"/>
      <c r="V5" s="3"/>
      <c r="W5" s="3"/>
      <c r="X5" s="3"/>
      <c r="AB5" s="3"/>
      <c r="AC5" s="3"/>
      <c r="AD5" s="1"/>
      <c r="AE5" s="3"/>
      <c r="AF5" s="9"/>
      <c r="AG5" s="3"/>
      <c r="AK5" s="6"/>
      <c r="AL5" s="4" t="s">
        <v>13</v>
      </c>
      <c r="AM5" s="4"/>
      <c r="AN5" s="3" t="s">
        <v>12</v>
      </c>
      <c r="AO5" s="4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3" t="s">
        <v>14</v>
      </c>
      <c r="B6" s="3" t="s">
        <v>15</v>
      </c>
      <c r="C6" s="3" t="s">
        <v>16</v>
      </c>
      <c r="D6" s="3" t="str">
        <f>ROUND((MIN('[1]Puntos de control todos los dat'!D38,'[1]Puntos de control todos los dat'!D41,'[1]Puntos de control todos los dat'!D44)+MEDIAN('[1]Puntos de control todos los dat'!D38,'[1]Puntos de control todos los dat'!D41,'[1]Puntos de control todos los dat'!D44))/2,3)&amp;" - "&amp;ROUND((MEDIAN('[1]Puntos de control todos los dat'!D38,'[1]Puntos de control todos los dat'!D41,'[1]Puntos de control todos los dat'!D44)+MAX('[1]Puntos de control todos los dat'!D38,'[1]Puntos de control todos los dat'!D41,'[1]Puntos de control todos los dat'!D44))/2,3)</f>
        <v>58,865 - 66,535</v>
      </c>
      <c r="E6" s="38">
        <v>1</v>
      </c>
      <c r="F6" s="38">
        <v>0</v>
      </c>
      <c r="G6" s="38">
        <v>0</v>
      </c>
      <c r="H6" s="38">
        <v>0</v>
      </c>
      <c r="I6" s="38">
        <v>0</v>
      </c>
      <c r="J6" s="3"/>
      <c r="K6" s="3" t="s">
        <v>17</v>
      </c>
      <c r="L6" s="3" t="s">
        <v>18</v>
      </c>
      <c r="M6" s="3" t="str">
        <f>ROUND((3*MIN('[1]Puntos de control todos los dat'!D39,'[1]Puntos de control todos los dat'!D42)+MAX('[1]Puntos de control todos los dat'!D39,'[1]Puntos de control todos los dat'!D42))/4,3)&amp;" - "&amp;ROUND((MIN('[1]Puntos de control todos los dat'!D39,'[1]Puntos de control todos los dat'!D42)+3*MAX('[1]Puntos de control todos los dat'!D39,'[1]Puntos de control todos los dat'!D42))/4,3)</f>
        <v>65,64 - 68,98</v>
      </c>
      <c r="N6" s="38">
        <v>1</v>
      </c>
      <c r="O6" s="38">
        <v>0</v>
      </c>
      <c r="P6" s="38">
        <v>0</v>
      </c>
      <c r="Q6" s="38">
        <v>0</v>
      </c>
      <c r="R6" s="38">
        <v>0</v>
      </c>
      <c r="S6" s="3"/>
      <c r="T6" s="3" t="s">
        <v>15</v>
      </c>
      <c r="U6" s="3" t="s">
        <v>19</v>
      </c>
      <c r="V6" s="3" t="str">
        <f>ROUND((MIN('[1]Puntos de control todos los dat'!D40,'[1]Puntos de control todos los dat'!D43,'[1]Puntos de control todos los dat'!D46)+MEDIAN('[1]Puntos de control todos los dat'!D40,'[1]Puntos de control todos los dat'!D43,'[1]Puntos de control todos los dat'!D46))/2,3)&amp;" - "&amp;ROUND((MEDIAN('[1]Puntos de control todos los dat'!D40,'[1]Puntos de control todos los dat'!D43,'[1]Puntos de control todos los dat'!D46)+MAX('[1]Puntos de control todos los dat'!D40,'[1]Puntos de control todos los dat'!D43,'[1]Puntos de control todos los dat'!D46))/2,3)</f>
        <v>70,07 - 77,885</v>
      </c>
      <c r="W6" s="38">
        <v>1</v>
      </c>
      <c r="X6" s="38">
        <v>0</v>
      </c>
      <c r="Y6" s="38">
        <v>0</v>
      </c>
      <c r="Z6" s="38">
        <v>0</v>
      </c>
      <c r="AA6" s="38">
        <v>0</v>
      </c>
      <c r="AB6" s="3"/>
      <c r="AC6" s="3" t="s">
        <v>17</v>
      </c>
      <c r="AD6" s="1" t="s">
        <v>20</v>
      </c>
      <c r="AE6" s="3" t="str">
        <f>ROUND((3*MIN('[1]Puntos de control todos los dat'!D59,'[1]Puntos de control todos los dat'!D60)+MAX('[1]Puntos de control todos los dat'!D59,'[1]Puntos de control todos los dat'!D60))/4,3)&amp;" - "&amp;ROUND((MIN('[1]Puntos de control todos los dat'!D59,'[1]Puntos de control todos los dat'!D60)+3*MAX('[1]Puntos de control todos los dat'!D59,'[1]Puntos de control todos los dat'!D60))/4,3)</f>
        <v>113,565 - 137,255</v>
      </c>
      <c r="AF6" s="39">
        <v>1</v>
      </c>
      <c r="AG6" s="38">
        <v>0</v>
      </c>
      <c r="AH6" s="38">
        <v>0</v>
      </c>
      <c r="AI6" s="38">
        <v>0</v>
      </c>
      <c r="AJ6" s="38">
        <v>0</v>
      </c>
      <c r="AK6" s="6"/>
      <c r="AL6" s="4" t="s">
        <v>21</v>
      </c>
      <c r="AM6" s="4"/>
      <c r="AN6" s="10" t="s">
        <v>14</v>
      </c>
      <c r="AO6" s="11" t="s">
        <v>22</v>
      </c>
      <c r="AP6" s="11" t="s">
        <v>23</v>
      </c>
      <c r="AQ6" s="3"/>
      <c r="AR6" s="10" t="s">
        <v>24</v>
      </c>
      <c r="AS6" s="12" t="s">
        <v>23</v>
      </c>
      <c r="AT6" s="3"/>
      <c r="AU6" s="3" t="s">
        <v>22</v>
      </c>
      <c r="AV6" s="11" t="s">
        <v>23</v>
      </c>
      <c r="AW6" s="1"/>
      <c r="AX6" s="1"/>
      <c r="AY6" s="1"/>
    </row>
    <row r="7" spans="1:51" x14ac:dyDescent="0.25">
      <c r="A7" s="3" t="s">
        <v>25</v>
      </c>
      <c r="B7" s="3" t="s">
        <v>15</v>
      </c>
      <c r="C7" s="3" t="s">
        <v>26</v>
      </c>
      <c r="D7" s="3" t="str">
        <f>ROUND((MIN('[1]Puntos de control todos los dat'!D71,'[1]Puntos de control todos los dat'!D74,'[1]Puntos de control todos los dat'!D77)+MEDIAN('[1]Puntos de control todos los dat'!D71,'[1]Puntos de control todos los dat'!D74,'[1]Puntos de control todos los dat'!D77))/2,3)&amp;" - "&amp;ROUND((MEDIAN('[1]Puntos de control todos los dat'!D71,'[1]Puntos de control todos los dat'!D74,'[1]Puntos de control todos los dat'!D77)+MAX('[1]Puntos de control todos los dat'!D71,'[1]Puntos de control todos los dat'!D74,'[1]Puntos de control todos los dat'!D77))/2,3)</f>
        <v>67,38 - 80,2</v>
      </c>
      <c r="E7" s="38">
        <v>1.1821940611072332</v>
      </c>
      <c r="F7" s="38">
        <v>0.24146687816915927</v>
      </c>
      <c r="G7" s="38">
        <v>18.219406110723323</v>
      </c>
      <c r="H7" s="38">
        <v>11.310000000000009</v>
      </c>
      <c r="I7" s="38">
        <v>8.3491227638475426E-2</v>
      </c>
      <c r="J7" s="3"/>
      <c r="K7" s="3" t="s">
        <v>17</v>
      </c>
      <c r="L7" s="3" t="s">
        <v>27</v>
      </c>
      <c r="M7" s="3" t="str">
        <f>ROUND((3*MIN('[1]Puntos de control todos los dat'!D75,'[1]Puntos de control todos los dat'!D78)+MAX('[1]Puntos de control todos los dat'!D75,'[1]Puntos de control todos los dat'!D78))/4,3)&amp;" - "&amp;ROUND((MIN('[1]Puntos de control todos los dat'!D75,'[1]Puntos de control todos los dat'!D78)+3*MAX('[1]Puntos de control todos los dat'!D75,'[1]Puntos de control todos los dat'!D78))/4,3)</f>
        <v>83,945 - 91,655</v>
      </c>
      <c r="N7" s="38">
        <v>1.3044124201455951</v>
      </c>
      <c r="O7" s="38">
        <v>0.38340008308735563</v>
      </c>
      <c r="P7" s="38">
        <v>30.44124201455951</v>
      </c>
      <c r="Q7" s="38">
        <v>20.490000000000009</v>
      </c>
      <c r="R7" s="38">
        <v>0.13209980014183487</v>
      </c>
      <c r="S7" s="3"/>
      <c r="T7" s="3" t="s">
        <v>15</v>
      </c>
      <c r="U7" s="3" t="s">
        <v>28</v>
      </c>
      <c r="V7" s="3" t="str">
        <f>ROUND((MIN('[1]Puntos de control todos los dat'!D73,'[1]Puntos de control todos los dat'!D76,'[1]Puntos de control todos los dat'!D79)+MEDIAN('[1]Puntos de control todos los dat'!D73,'[1]Puntos de control todos los dat'!D76,'[1]Puntos de control todos los dat'!D79))/2,3)&amp;" - "&amp;ROUND((MEDIAN('[1]Puntos de control todos los dat'!D73,'[1]Puntos de control todos los dat'!D76,'[1]Puntos de control todos los dat'!D79)+MAX('[1]Puntos de control todos los dat'!D73,'[1]Puntos de control todos los dat'!D76,'[1]Puntos de control todos los dat'!D79))/2,3)</f>
        <v>56,945 - 67,14</v>
      </c>
      <c r="W7" s="38">
        <v>0.83626615342315103</v>
      </c>
      <c r="X7" s="38">
        <v>-0.25796592158361242</v>
      </c>
      <c r="Y7" s="38">
        <v>-16.373384657684898</v>
      </c>
      <c r="Z7" s="38">
        <v>-11.909999999999989</v>
      </c>
      <c r="AA7" s="38">
        <v>-8.9166729055925653E-2</v>
      </c>
      <c r="AB7" s="3"/>
      <c r="AC7" s="3" t="s">
        <v>17</v>
      </c>
      <c r="AD7" s="1" t="s">
        <v>29</v>
      </c>
      <c r="AE7" s="3" t="str">
        <f>ROUND((3*MIN('[1]Puntos de control todos los dat'!D61,'[1]Puntos de control todos los dat'!D62)+MAX('[1]Puntos de control todos los dat'!D61,'[1]Puntos de control todos los dat'!D62))/4,3)&amp;" - "&amp;ROUND((MIN('[1]Puntos de control todos los dat'!D61,'[1]Puntos de control todos los dat'!D62)+3*MAX('[1]Puntos de control todos los dat'!D61,'[1]Puntos de control todos los dat'!D62))/4,3)</f>
        <v>64,235 - 75,245</v>
      </c>
      <c r="AF7" s="39">
        <v>0.55609600510326129</v>
      </c>
      <c r="AG7" s="38">
        <v>-0.84659412177714821</v>
      </c>
      <c r="AH7" s="38">
        <v>-44.390399489673868</v>
      </c>
      <c r="AI7" s="38">
        <v>-55.67</v>
      </c>
      <c r="AJ7" s="38">
        <v>-0.28526774276197803</v>
      </c>
      <c r="AK7" s="3"/>
      <c r="AL7" s="4" t="s">
        <v>30</v>
      </c>
      <c r="AM7" s="4" t="s">
        <v>31</v>
      </c>
      <c r="AN7" s="13" t="s">
        <v>25</v>
      </c>
      <c r="AO7" s="11" t="s">
        <v>32</v>
      </c>
      <c r="AP7" s="11" t="s">
        <v>21</v>
      </c>
      <c r="AQ7" s="3"/>
      <c r="AR7" s="13" t="s">
        <v>33</v>
      </c>
      <c r="AS7" s="13" t="s">
        <v>30</v>
      </c>
      <c r="AT7" s="3"/>
      <c r="AU7" s="3" t="s">
        <v>34</v>
      </c>
      <c r="AV7" s="11" t="s">
        <v>21</v>
      </c>
      <c r="AW7" s="1"/>
      <c r="AX7" s="1"/>
      <c r="AY7" s="1"/>
    </row>
    <row r="8" spans="1:51" x14ac:dyDescent="0.25">
      <c r="A8" s="3" t="s">
        <v>35</v>
      </c>
      <c r="B8" s="3" t="s">
        <v>15</v>
      </c>
      <c r="C8" s="3" t="s">
        <v>36</v>
      </c>
      <c r="D8" s="3" t="str">
        <f>ROUND((MIN('[1]Puntos de control todos los dat'!D2,'[1]Puntos de control todos los dat'!D5,'[1]Puntos de control todos los dat'!D8)+MEDIAN('[1]Puntos de control todos los dat'!D2,'[1]Puntos de control todos los dat'!D5,'[1]Puntos de control todos los dat'!D8))/2,3)&amp;" - "&amp;ROUND((MEDIAN('[1]Puntos de control todos los dat'!D2,'[1]Puntos de control todos los dat'!D5,'[1]Puntos de control todos los dat'!D8)+MAX('[1]Puntos de control todos los dat'!D2,'[1]Puntos de control todos los dat'!D5,'[1]Puntos de control todos los dat'!D8))/2,3)</f>
        <v>54,425 - 72,14</v>
      </c>
      <c r="E8" s="38">
        <v>0.9888310154110509</v>
      </c>
      <c r="F8" s="38">
        <v>-1.6204099745838581E-2</v>
      </c>
      <c r="G8" s="38">
        <v>-1.1168984588949105</v>
      </c>
      <c r="H8" s="38">
        <v>-0.69333333333332803</v>
      </c>
      <c r="I8" s="38">
        <v>-5.615853987796275E-3</v>
      </c>
      <c r="J8" s="3"/>
      <c r="K8" s="3" t="s">
        <v>15</v>
      </c>
      <c r="L8" s="3" t="s">
        <v>37</v>
      </c>
      <c r="M8" s="3" t="str">
        <f>ROUND((MIN('[1]Puntos de control todos los dat'!D3,'[1]Puntos de control todos los dat'!D6,'[1]Puntos de control todos los dat'!D9)+MEDIAN('[1]Puntos de control todos los dat'!D3,'[1]Puntos de control todos los dat'!D6,'[1]Puntos de control todos los dat'!D9))/2,3)&amp;" - "&amp;ROUND((MEDIAN('[1]Puntos de control todos los dat'!D3,'[1]Puntos de control todos los dat'!D6,'[1]Puntos de control todos los dat'!D9)+MAX('[1]Puntos de control todos los dat'!D3,'[1]Puntos de control todos los dat'!D6,'[1]Puntos de control todos los dat'!D9))/2,3)</f>
        <v>51,06 - 68,61</v>
      </c>
      <c r="N8" s="38">
        <v>0.8869410191650573</v>
      </c>
      <c r="O8" s="38">
        <v>-0.17308992518319749</v>
      </c>
      <c r="P8" s="38">
        <v>-11.30589808349427</v>
      </c>
      <c r="Q8" s="38">
        <v>-7.6099999999999923</v>
      </c>
      <c r="R8" s="38">
        <v>-5.9916542004566503E-2</v>
      </c>
      <c r="S8" s="3"/>
      <c r="T8" s="3" t="s">
        <v>15</v>
      </c>
      <c r="U8" s="3" t="s">
        <v>38</v>
      </c>
      <c r="V8" s="3" t="str">
        <f>ROUND((MIN('[1]Puntos de control todos los dat'!D4,'[1]Puntos de control todos los dat'!D7,'[1]Puntos de control todos los dat'!D10)+MEDIAN('[1]Puntos de control todos los dat'!D4,'[1]Puntos de control todos los dat'!D7,'[1]Puntos de control todos los dat'!D10))/2,3)&amp;" - "&amp;ROUND((MEDIAN('[1]Puntos de control todos los dat'!D4,'[1]Puntos de control todos los dat'!D7,'[1]Puntos de control todos los dat'!D10)+MAX('[1]Puntos de control todos los dat'!D4,'[1]Puntos de control todos los dat'!D7,'[1]Puntos de control todos los dat'!D10))/2,3)</f>
        <v>67,445 - 74,47</v>
      </c>
      <c r="W8" s="38">
        <v>0.97172578132160214</v>
      </c>
      <c r="X8" s="38">
        <v>-4.1378848692975943E-2</v>
      </c>
      <c r="Y8" s="38">
        <v>-2.8274218678397856</v>
      </c>
      <c r="Z8" s="38">
        <v>-2.0566666666666578</v>
      </c>
      <c r="AA8" s="38">
        <v>-1.4339833128035821E-2</v>
      </c>
      <c r="AB8" s="3"/>
      <c r="AC8" s="3" t="s">
        <v>17</v>
      </c>
      <c r="AD8" s="1" t="s">
        <v>39</v>
      </c>
      <c r="AE8" s="3" t="str">
        <f>ROUND((3*MIN('[1]Puntos de control todos los dat'!D63,'[1]Puntos de control todos los dat'!D64)+MAX('[1]Puntos de control todos los dat'!D63,'[1]Puntos de control todos los dat'!D64))/4,3)&amp;" - "&amp;ROUND((MIN('[1]Puntos de control todos los dat'!D63,'[1]Puntos de control todos los dat'!D64)+3*MAX('[1]Puntos de control todos los dat'!D63,'[1]Puntos de control todos los dat'!D64))/4,3)</f>
        <v>111,428 - 112,463</v>
      </c>
      <c r="AF8" s="39">
        <v>0.89263216649389998</v>
      </c>
      <c r="AG8" s="39">
        <v>-0.163862299046999</v>
      </c>
      <c r="AH8" s="39">
        <v>-10.736783350610002</v>
      </c>
      <c r="AI8" s="39">
        <v>-13.465000000000003</v>
      </c>
      <c r="AJ8" s="39">
        <v>-5.6729371616355266E-2</v>
      </c>
      <c r="AK8" s="9"/>
      <c r="AL8" s="4" t="s">
        <v>40</v>
      </c>
      <c r="AM8" s="4" t="s">
        <v>41</v>
      </c>
      <c r="AN8" s="3" t="s">
        <v>35</v>
      </c>
      <c r="AO8" s="3" t="s">
        <v>22</v>
      </c>
      <c r="AP8" s="3" t="s">
        <v>23</v>
      </c>
      <c r="AQ8" s="3"/>
      <c r="AR8" s="14" t="s">
        <v>22</v>
      </c>
      <c r="AS8" s="15" t="s">
        <v>23</v>
      </c>
      <c r="AT8" s="3"/>
      <c r="AU8" s="3" t="s">
        <v>22</v>
      </c>
      <c r="AV8" s="3" t="s">
        <v>23</v>
      </c>
      <c r="AW8" s="1"/>
      <c r="AX8" s="1"/>
      <c r="AY8" s="1"/>
    </row>
    <row r="9" spans="1:51" x14ac:dyDescent="0.25">
      <c r="A9" s="3" t="s">
        <v>42</v>
      </c>
      <c r="B9" s="3" t="s">
        <v>15</v>
      </c>
      <c r="C9" s="3" t="s">
        <v>43</v>
      </c>
      <c r="D9" s="3" t="str">
        <f>ROUND((MIN('[1]Puntos de control todos los dat'!D11,'[1]Puntos de control todos los dat'!D14,'[1]Puntos de control todos los dat'!D17)+MEDIAN('[1]Puntos de control todos los dat'!D11,'[1]Puntos de control todos los dat'!D14,'[1]Puntos de control todos los dat'!D17))/2,3)&amp;" - "&amp;ROUND((MEDIAN('[1]Puntos de control todos los dat'!D11,'[1]Puntos de control todos los dat'!D14,'[1]Puntos de control todos los dat'!D17)+MAX('[1]Puntos de control todos los dat'!D11,'[1]Puntos de control todos los dat'!D14,'[1]Puntos de control todos los dat'!D17))/2,3)</f>
        <v>57,295 - 79,72</v>
      </c>
      <c r="E9" s="38">
        <v>1.1004671642592494</v>
      </c>
      <c r="F9" s="38">
        <v>0.13811609873507669</v>
      </c>
      <c r="G9" s="38">
        <v>10.04671642592494</v>
      </c>
      <c r="H9" s="38">
        <v>6.2366666666666717</v>
      </c>
      <c r="I9" s="38">
        <v>4.7830866375233316E-2</v>
      </c>
      <c r="J9" s="3"/>
      <c r="K9" s="3" t="s">
        <v>15</v>
      </c>
      <c r="L9" s="3" t="s">
        <v>44</v>
      </c>
      <c r="M9" s="3" t="str">
        <f>ROUND((MIN('[1]Puntos de control todos los dat'!D12,'[1]Puntos de control todos los dat'!D15,'[1]Puntos de control todos los dat'!D18)+MEDIAN('[1]Puntos de control todos los dat'!D12,'[1]Puntos de control todos los dat'!D15,'[1]Puntos de control todos los dat'!D18))/2,3)&amp;" - "&amp;ROUND((MEDIAN('[1]Puntos de control todos los dat'!D12,'[1]Puntos de control todos los dat'!D15,'[1]Puntos de control todos los dat'!D18)+MAX('[1]Puntos de control todos los dat'!D12,'[1]Puntos de control todos los dat'!D15,'[1]Puntos de control todos los dat'!D18))/2,3)</f>
        <v>75,67 - 80,76</v>
      </c>
      <c r="N9" s="38">
        <v>1.1646114990343188</v>
      </c>
      <c r="O9" s="38">
        <v>0.21984876870581191</v>
      </c>
      <c r="P9" s="38">
        <v>16.461149903431881</v>
      </c>
      <c r="Q9" s="38">
        <v>11.079999999999998</v>
      </c>
      <c r="R9" s="38">
        <v>7.6046671242278652E-2</v>
      </c>
      <c r="S9" s="3"/>
      <c r="T9" s="3" t="s">
        <v>15</v>
      </c>
      <c r="U9" s="3" t="s">
        <v>45</v>
      </c>
      <c r="V9" s="3" t="str">
        <f>ROUND((MIN('[1]Puntos de control todos los dat'!D13,'[1]Puntos de control todos los dat'!D16,'[1]Puntos de control todos los dat'!D19)+MEDIAN('[1]Puntos de control todos los dat'!D13,'[1]Puntos de control todos los dat'!D16,'[1]Puntos de control todos los dat'!D19))/2,3)&amp;" - "&amp;ROUND((MEDIAN('[1]Puntos de control todos los dat'!D13,'[1]Puntos de control todos los dat'!D16,'[1]Puntos de control todos los dat'!D19)+MAX('[1]Puntos de control todos los dat'!D13,'[1]Puntos de control todos los dat'!D16,'[1]Puntos de control todos los dat'!D19))/2,3)</f>
        <v>62,01 - 67,44</v>
      </c>
      <c r="W9" s="38">
        <v>0.89510585647511687</v>
      </c>
      <c r="X9" s="38">
        <v>-0.15986978728032036</v>
      </c>
      <c r="Y9" s="38">
        <v>-10.489414352488314</v>
      </c>
      <c r="Z9" s="38">
        <v>-7.6299999999999955</v>
      </c>
      <c r="AA9" s="38">
        <v>-5.5350018135654669E-2</v>
      </c>
      <c r="AB9" s="3"/>
      <c r="AC9" s="3" t="s">
        <v>17</v>
      </c>
      <c r="AD9" s="3" t="s">
        <v>46</v>
      </c>
      <c r="AE9" s="3" t="str">
        <f>ROUND((3*MIN('[1]Puntos de control todos los dat'!D65,'[1]Puntos de control todos los dat'!D66)+MAX('[1]Puntos de control todos los dat'!D65,'[1]Puntos de control todos los dat'!D66))/4,3)&amp;" - "&amp;ROUND((MIN('[1]Puntos de control todos los dat'!D65,'[1]Puntos de control todos los dat'!D66)+3*MAX('[1]Puntos de control todos los dat'!D65,'[1]Puntos de control todos los dat'!D66))/4,3)</f>
        <v>147,703 - 225,568</v>
      </c>
      <c r="AF9" s="39">
        <v>1.4881987082369827</v>
      </c>
      <c r="AG9" s="39">
        <v>0.57356717177416883</v>
      </c>
      <c r="AH9" s="39">
        <v>48.819870823698274</v>
      </c>
      <c r="AI9" s="39">
        <v>61.224999999999994</v>
      </c>
      <c r="AJ9" s="39">
        <v>0.19620567546347484</v>
      </c>
      <c r="AK9" s="9"/>
      <c r="AL9" s="4" t="s">
        <v>23</v>
      </c>
      <c r="AM9" s="4" t="s">
        <v>47</v>
      </c>
      <c r="AN9" s="3" t="s">
        <v>42</v>
      </c>
      <c r="AO9" s="3" t="s">
        <v>22</v>
      </c>
      <c r="AP9" s="3" t="s">
        <v>23</v>
      </c>
      <c r="AQ9" s="3"/>
      <c r="AR9" s="15" t="s">
        <v>22</v>
      </c>
      <c r="AS9" s="15" t="s">
        <v>23</v>
      </c>
      <c r="AT9" s="3"/>
      <c r="AU9" s="3" t="s">
        <v>22</v>
      </c>
      <c r="AV9" s="3" t="s">
        <v>23</v>
      </c>
      <c r="AW9" s="1"/>
      <c r="AX9" s="1"/>
      <c r="AY9" s="1"/>
    </row>
    <row r="10" spans="1:51" x14ac:dyDescent="0.25">
      <c r="A10" s="3" t="s">
        <v>48</v>
      </c>
      <c r="B10" s="3" t="s">
        <v>15</v>
      </c>
      <c r="C10" s="3" t="s">
        <v>49</v>
      </c>
      <c r="D10" s="3" t="str">
        <f>ROUND((MIN('[1]Puntos de control todos los dat'!D20,'[1]Puntos de control todos los dat'!D23,'[1]Puntos de control todos los dat'!D26)+MEDIAN('[1]Puntos de control todos los dat'!D20,'[1]Puntos de control todos los dat'!D23,'[1]Puntos de control todos los dat'!D26))/2,3)&amp;" - "&amp;ROUND((MEDIAN('[1]Puntos de control todos los dat'!D20,'[1]Puntos de control todos los dat'!D23,'[1]Puntos de control todos los dat'!D26)+MAX('[1]Puntos de control todos los dat'!D20,'[1]Puntos de control todos los dat'!D23,'[1]Puntos de control todos los dat'!D26))/2,3)</f>
        <v>59,02 - 70,515</v>
      </c>
      <c r="E10" s="38">
        <v>1.021425119475917</v>
      </c>
      <c r="F10" s="38">
        <v>3.0583444188144834E-2</v>
      </c>
      <c r="G10" s="38">
        <v>2.1425119475916965</v>
      </c>
      <c r="H10" s="38">
        <v>1.3300000000000054</v>
      </c>
      <c r="I10" s="38">
        <v>1.0599017133749547E-2</v>
      </c>
      <c r="J10" s="3"/>
      <c r="K10" s="3" t="s">
        <v>15</v>
      </c>
      <c r="L10" s="3" t="s">
        <v>50</v>
      </c>
      <c r="M10" s="3" t="str">
        <f>ROUND((MIN('[1]Puntos de control todos los dat'!D21,'[1]Puntos de control todos los dat'!D24,'[1]Puntos de control todos los dat'!D27)+MEDIAN('[1]Puntos de control todos los dat'!D21,'[1]Puntos de control todos los dat'!D24,'[1]Puntos de control todos los dat'!D27))/2,3)&amp;" - "&amp;ROUND((MEDIAN('[1]Puntos de control todos los dat'!D21,'[1]Puntos de control todos los dat'!D24,'[1]Puntos de control todos los dat'!D27)+MAX('[1]Puntos de control todos los dat'!D21,'[1]Puntos de control todos los dat'!D24,'[1]Puntos de control todos los dat'!D27))/2,3)</f>
        <v>35,975 - 56,02</v>
      </c>
      <c r="N10" s="38">
        <v>0.68731738721339086</v>
      </c>
      <c r="O10" s="38">
        <v>-0.54095163890023978</v>
      </c>
      <c r="P10" s="38">
        <v>-31.268261278660916</v>
      </c>
      <c r="Q10" s="38">
        <v>-21.04666666666666</v>
      </c>
      <c r="R10" s="38">
        <v>-0.18531345386240891</v>
      </c>
      <c r="S10" s="3"/>
      <c r="T10" s="3" t="s">
        <v>15</v>
      </c>
      <c r="U10" s="3" t="s">
        <v>51</v>
      </c>
      <c r="V10" s="3" t="str">
        <f>ROUND((MIN('[1]Puntos de control todos los dat'!D22,'[1]Puntos de control todos los dat'!D25,'[1]Puntos de control todos los dat'!D28)+MEDIAN('[1]Puntos de control todos los dat'!D22,'[1]Puntos de control todos los dat'!D25,'[1]Puntos de control todos los dat'!D28))/2,3)&amp;" - "&amp;ROUND((MEDIAN('[1]Puntos de control todos los dat'!D22,'[1]Puntos de control todos los dat'!D25,'[1]Puntos de control todos los dat'!D28)+MAX('[1]Puntos de control todos los dat'!D22,'[1]Puntos de control todos los dat'!D25,'[1]Puntos de control todos los dat'!D28))/2,3)</f>
        <v>69,085 - 80,695</v>
      </c>
      <c r="W10" s="38">
        <v>1.0122353588122079</v>
      </c>
      <c r="X10" s="38">
        <v>1.7544775716981865E-2</v>
      </c>
      <c r="Y10" s="38">
        <v>1.2235358812207942</v>
      </c>
      <c r="Z10" s="38">
        <v>0.89000000000000057</v>
      </c>
      <c r="AA10" s="38">
        <v>6.0804809728769596E-3</v>
      </c>
      <c r="AB10" s="3"/>
      <c r="AC10" s="3" t="s">
        <v>17</v>
      </c>
      <c r="AD10" s="3" t="s">
        <v>52</v>
      </c>
      <c r="AE10" s="3" t="str">
        <f>ROUND((3*MIN('[1]Puntos de control todos los dat'!D67,'[1]Puntos de control todos los dat'!D68)+MAX('[1]Puntos de control todos los dat'!D67,'[1]Puntos de control todos los dat'!D68))/4,3)&amp;" - "&amp;ROUND((MIN('[1]Puntos de control todos los dat'!D67,'[1]Puntos de control todos los dat'!D68)+3*MAX('[1]Puntos de control todos los dat'!D67,'[1]Puntos de control todos los dat'!D68))/4,3)</f>
        <v>107,55 - 180,47</v>
      </c>
      <c r="AF10" s="38">
        <v>1.1483135316162985</v>
      </c>
      <c r="AG10" s="38">
        <v>0.19951660434024188</v>
      </c>
      <c r="AH10" s="38">
        <v>14.831353161629846</v>
      </c>
      <c r="AI10" s="38">
        <v>18.599999999999994</v>
      </c>
      <c r="AJ10" s="38">
        <v>6.9037191002895099E-2</v>
      </c>
      <c r="AK10" s="3"/>
      <c r="AL10" s="4"/>
      <c r="AM10" s="4"/>
      <c r="AN10" s="3" t="s">
        <v>48</v>
      </c>
      <c r="AO10" s="3" t="s">
        <v>53</v>
      </c>
      <c r="AP10" s="11" t="s">
        <v>30</v>
      </c>
      <c r="AQ10" s="3"/>
      <c r="AR10" s="15" t="s">
        <v>22</v>
      </c>
      <c r="AS10" s="14" t="s">
        <v>23</v>
      </c>
      <c r="AT10" s="3"/>
      <c r="AU10" s="3" t="s">
        <v>34</v>
      </c>
      <c r="AV10" s="3" t="s">
        <v>21</v>
      </c>
      <c r="AW10" s="1"/>
      <c r="AX10" s="1"/>
      <c r="AY10" s="1"/>
    </row>
    <row r="11" spans="1:51" x14ac:dyDescent="0.25">
      <c r="A11" s="3" t="s">
        <v>54</v>
      </c>
      <c r="B11" s="3" t="s">
        <v>15</v>
      </c>
      <c r="C11" s="3" t="s">
        <v>55</v>
      </c>
      <c r="D11" s="3" t="str">
        <f>ROUND((MIN('[1]Puntos de control todos los dat'!D29,'[1]Puntos de control todos los dat'!D32,'[1]Puntos de control todos los dat'!D35)+MEDIAN('[1]Puntos de control todos los dat'!D29,'[1]Puntos de control todos los dat'!D32,'[1]Puntos de control todos los dat'!D35))/2,3)&amp;" - "&amp;ROUND((MEDIAN('[1]Puntos de control todos los dat'!D29,'[1]Puntos de control todos los dat'!D32,'[1]Puntos de control todos los dat'!D35)+MAX('[1]Puntos de control todos los dat'!D29,'[1]Puntos de control todos los dat'!D32,'[1]Puntos de control todos los dat'!D35))/2,3)</f>
        <v>44,37 - 62,825</v>
      </c>
      <c r="E11" s="38">
        <v>0.8553401707565913</v>
      </c>
      <c r="F11" s="38">
        <v>-0.22542979762341275</v>
      </c>
      <c r="G11" s="38">
        <v>-14.465982924340871</v>
      </c>
      <c r="H11" s="38">
        <v>-8.9799999999999969</v>
      </c>
      <c r="I11" s="38">
        <v>-7.7969437369761502E-2</v>
      </c>
      <c r="J11" s="3"/>
      <c r="K11" s="3" t="s">
        <v>15</v>
      </c>
      <c r="L11" s="3" t="s">
        <v>56</v>
      </c>
      <c r="M11" s="3" t="str">
        <f>ROUND((MIN('[1]Puntos de control todos los dat'!D30,'[1]Puntos de control todos los dat'!D33,'[1]Puntos de control todos los dat'!D36)+MEDIAN('[1]Puntos de control todos los dat'!D30,'[1]Puntos de control todos los dat'!D33,'[1]Puntos de control todos los dat'!D36))/2,3)&amp;" - "&amp;ROUND((MEDIAN('[1]Puntos de control todos los dat'!D30,'[1]Puntos de control todos los dat'!D33,'[1]Puntos de control todos los dat'!D36)+MAX('[1]Puntos de control todos los dat'!D30,'[1]Puntos de control todos los dat'!D33,'[1]Puntos de control todos los dat'!D36))/2,3)</f>
        <v>61,975 - 75,48</v>
      </c>
      <c r="N11" s="38">
        <v>1.0019313623532906</v>
      </c>
      <c r="O11" s="38">
        <v>2.7836796067170558E-3</v>
      </c>
      <c r="P11" s="38">
        <v>0.1931362353290611</v>
      </c>
      <c r="Q11" s="38">
        <v>0.12999999999999545</v>
      </c>
      <c r="R11" s="38">
        <v>9.6474953617807383E-4</v>
      </c>
      <c r="S11" s="3"/>
      <c r="T11" s="3" t="s">
        <v>15</v>
      </c>
      <c r="U11" s="3" t="s">
        <v>57</v>
      </c>
      <c r="V11" s="3" t="str">
        <f>ROUND((MIN('[1]Puntos de control todos los dat'!D31,'[1]Puntos de control todos los dat'!D34,'[1]Puntos de control todos los dat'!D37)+MEDIAN('[1]Puntos de control todos los dat'!D31,'[1]Puntos de control todos los dat'!D34,'[1]Puntos de control todos los dat'!D37))/2,3)&amp;" - "&amp;ROUND((MEDIAN('[1]Puntos de control todos los dat'!D31,'[1]Puntos de control todos los dat'!D34,'[1]Puntos de control todos los dat'!D37)+MAX('[1]Puntos de control todos los dat'!D31,'[1]Puntos de control todos los dat'!D34,'[1]Puntos de control todos los dat'!D37))/2,3)</f>
        <v>59,71 - 63,77</v>
      </c>
      <c r="W11" s="38">
        <v>0.85487123086793149</v>
      </c>
      <c r="X11" s="38">
        <v>-0.22622097147263068</v>
      </c>
      <c r="Y11" s="38">
        <v>-14.512876913206851</v>
      </c>
      <c r="Z11" s="38">
        <v>-10.556666666666665</v>
      </c>
      <c r="AA11" s="38">
        <v>-7.8241964572473247E-2</v>
      </c>
      <c r="AB11" s="3"/>
      <c r="AC11" s="3" t="s">
        <v>17</v>
      </c>
      <c r="AD11" s="3" t="s">
        <v>58</v>
      </c>
      <c r="AE11" s="3" t="str">
        <f>ROUND((3*MIN('[1]Puntos de control todos los dat'!D69,'[1]Puntos de control todos los dat'!D70)+MAX('[1]Puntos de control todos los dat'!D69,'[1]Puntos de control todos los dat'!D70))/4,3)&amp;" - "&amp;ROUND((MIN('[1]Puntos de control todos los dat'!D69,'[1]Puntos de control todos los dat'!D70)+3*MAX('[1]Puntos de control todos los dat'!D69,'[1]Puntos de control todos los dat'!D70))/4,3)</f>
        <v>96,738 - 105,033</v>
      </c>
      <c r="AF11" s="39">
        <v>0.80444143210270325</v>
      </c>
      <c r="AG11" s="39">
        <v>-0.31394070649400507</v>
      </c>
      <c r="AH11" s="39">
        <v>-19.555856789729674</v>
      </c>
      <c r="AI11" s="39">
        <v>-24.524999999999991</v>
      </c>
      <c r="AJ11" s="39">
        <v>-0.10837623456108172</v>
      </c>
      <c r="AK11" s="9"/>
      <c r="AL11" s="4"/>
      <c r="AM11" s="4"/>
      <c r="AN11" s="3" t="s">
        <v>54</v>
      </c>
      <c r="AO11" s="3" t="s">
        <v>22</v>
      </c>
      <c r="AP11" s="3" t="s">
        <v>23</v>
      </c>
      <c r="AQ11" s="3"/>
      <c r="AR11" s="15" t="s">
        <v>22</v>
      </c>
      <c r="AS11" s="15" t="s">
        <v>23</v>
      </c>
      <c r="AT11" s="3"/>
      <c r="AU11" s="3" t="s">
        <v>22</v>
      </c>
      <c r="AV11" s="3" t="s">
        <v>23</v>
      </c>
      <c r="AW11" s="1"/>
      <c r="AX11" s="1"/>
      <c r="AY11" s="1"/>
    </row>
    <row r="12" spans="1:51" x14ac:dyDescent="0.25">
      <c r="A12" s="3" t="s">
        <v>59</v>
      </c>
      <c r="B12" s="3" t="s">
        <v>17</v>
      </c>
      <c r="C12" s="3" t="s">
        <v>60</v>
      </c>
      <c r="D12" s="3" t="str">
        <f>ROUND((3*MIN('[1]Puntos de control todos los dat'!D47,'[1]Puntos de control todos los dat'!D50)+MAX('[1]Puntos de control todos los dat'!D47,'[1]Puntos de control todos los dat'!D50))/4,3)&amp;" - "&amp;ROUND((MIN('[1]Puntos de control todos los dat'!D47,'[1]Puntos de control todos los dat'!D50)+3*MAX('[1]Puntos de control todos los dat'!D47,'[1]Puntos de control todos los dat'!D50))/4,3)</f>
        <v>77,608 - 81,163</v>
      </c>
      <c r="E12" s="38">
        <v>1.2788218869140311</v>
      </c>
      <c r="F12" s="38">
        <v>0.35481534102972601</v>
      </c>
      <c r="G12" s="38">
        <v>27.882188691403108</v>
      </c>
      <c r="H12" s="38">
        <v>17.30833333333333</v>
      </c>
      <c r="I12" s="38">
        <v>0.12235352333376533</v>
      </c>
      <c r="J12" s="3"/>
      <c r="K12" s="3" t="s">
        <v>17</v>
      </c>
      <c r="L12" s="3" t="s">
        <v>61</v>
      </c>
      <c r="M12" s="3" t="str">
        <f>ROUND((3*MIN('[1]Puntos de control todos los dat'!D48,'[1]Puntos de control todos los dat'!D51)+MAX('[1]Puntos de control todos los dat'!D48,'[1]Puntos de control todos los dat'!D51))/4,3)&amp;" - "&amp;ROUND((MIN('[1]Puntos de control todos los dat'!D48,'[1]Puntos de control todos los dat'!D51)+3*MAX('[1]Puntos de control todos los dat'!D48,'[1]Puntos de control todos los dat'!D51))/4,3)</f>
        <v>93,415 - 95,085</v>
      </c>
      <c r="N12" s="38">
        <v>1.4002377061357896</v>
      </c>
      <c r="O12" s="38">
        <v>0.4856717617080239</v>
      </c>
      <c r="P12" s="38">
        <v>40.023770613578961</v>
      </c>
      <c r="Q12" s="38">
        <v>26.939999999999998</v>
      </c>
      <c r="R12" s="38">
        <v>0.16674919534538252</v>
      </c>
      <c r="S12" s="3"/>
      <c r="T12" s="3" t="s">
        <v>17</v>
      </c>
      <c r="U12" s="3" t="s">
        <v>62</v>
      </c>
      <c r="V12" s="3" t="str">
        <f>ROUND((3*MIN('[1]Puntos de control todos los dat'!D49,'[1]Puntos de control todos los dat'!D52)+MAX('[1]Puntos de control todos los dat'!D49,'[1]Puntos de control todos los dat'!D52))/4,3)&amp;" - "&amp;ROUND((MIN('[1]Puntos de control todos los dat'!D49,'[1]Puntos de control todos los dat'!D52)+3*MAX('[1]Puntos de control todos los dat'!D49,'[1]Puntos de control todos los dat'!D52))/4,3)</f>
        <v>74,698 - 77,013</v>
      </c>
      <c r="W12" s="38">
        <v>1.0428237558427276</v>
      </c>
      <c r="X12" s="38">
        <v>6.0495353392823477E-2</v>
      </c>
      <c r="Y12" s="38">
        <v>4.2823755842727573</v>
      </c>
      <c r="Z12" s="38">
        <v>3.1150000000000091</v>
      </c>
      <c r="AA12" s="38">
        <v>2.0963020290050198E-2</v>
      </c>
      <c r="AB12" s="3"/>
      <c r="AC12" s="3" t="s">
        <v>63</v>
      </c>
      <c r="AD12" s="3" t="s">
        <v>63</v>
      </c>
      <c r="AE12" s="3" t="s">
        <v>63</v>
      </c>
      <c r="AF12" s="38" t="s">
        <v>731</v>
      </c>
      <c r="AG12" s="38" t="s">
        <v>731</v>
      </c>
      <c r="AH12" s="38" t="s">
        <v>731</v>
      </c>
      <c r="AI12" s="38" t="s">
        <v>731</v>
      </c>
      <c r="AJ12" s="38" t="s">
        <v>731</v>
      </c>
      <c r="AK12" s="3"/>
      <c r="AL12" s="4"/>
      <c r="AM12" s="4"/>
      <c r="AN12" s="3" t="s">
        <v>59</v>
      </c>
      <c r="AO12" s="3" t="s">
        <v>63</v>
      </c>
      <c r="AP12" s="3" t="s">
        <v>63</v>
      </c>
      <c r="AQ12" s="1"/>
      <c r="AR12" s="15" t="s">
        <v>63</v>
      </c>
      <c r="AS12" s="15" t="s">
        <v>63</v>
      </c>
      <c r="AT12" s="3"/>
      <c r="AU12" s="3" t="s">
        <v>63</v>
      </c>
      <c r="AV12" s="3" t="s">
        <v>63</v>
      </c>
      <c r="AW12" s="1"/>
      <c r="AX12" s="1"/>
      <c r="AY12" s="1"/>
    </row>
    <row r="13" spans="1:51" x14ac:dyDescent="0.25">
      <c r="A13" s="3" t="s">
        <v>64</v>
      </c>
      <c r="B13" s="3" t="s">
        <v>17</v>
      </c>
      <c r="C13" s="3" t="s">
        <v>65</v>
      </c>
      <c r="D13" s="3" t="str">
        <f>ROUND((3*MIN('[1]Puntos de control todos los dat'!D53,'[1]Puntos de control todos los dat'!D56)+MAX('[1]Puntos de control todos los dat'!D53,'[1]Puntos de control todos los dat'!D56))/4,3)&amp;" - "&amp;ROUND((MIN('[1]Puntos de control todos los dat'!D53,'[1]Puntos de control todos los dat'!D56)+3*MAX('[1]Puntos de control todos los dat'!D53,'[1]Puntos de control todos los dat'!D56))/4,3)</f>
        <v>75,96 - 78,78</v>
      </c>
      <c r="E13" s="38">
        <v>1.2463620254523977</v>
      </c>
      <c r="F13" s="38">
        <v>0.31772318269858763</v>
      </c>
      <c r="G13" s="38">
        <v>24.636202545239772</v>
      </c>
      <c r="H13" s="38">
        <v>15.293333333333344</v>
      </c>
      <c r="I13" s="38">
        <v>0.10967155901897986</v>
      </c>
      <c r="J13" s="3"/>
      <c r="K13" s="3" t="s">
        <v>17</v>
      </c>
      <c r="L13" s="3" t="s">
        <v>66</v>
      </c>
      <c r="M13" s="3" t="str">
        <f>ROUND((3*MIN('[1]Puntos de control todos los dat'!D54,'[1]Puntos de control todos los dat'!D57)+MAX('[1]Puntos de control todos los dat'!D54,'[1]Puntos de control todos los dat'!D57))/4,3)&amp;" - "&amp;ROUND((MIN('[1]Puntos de control todos los dat'!D54,'[1]Puntos de control todos los dat'!D57)+3*MAX('[1]Puntos de control todos los dat'!D54,'[1]Puntos de control todos los dat'!D57))/4,3)</f>
        <v>73,713 - 79,518</v>
      </c>
      <c r="N13" s="38">
        <v>1.1382409745951569</v>
      </c>
      <c r="O13" s="38">
        <v>0.18680601990318543</v>
      </c>
      <c r="P13" s="38">
        <v>13.824097459515695</v>
      </c>
      <c r="Q13" s="38">
        <v>9.3050000000000068</v>
      </c>
      <c r="R13" s="38">
        <v>6.4651728330727853E-2</v>
      </c>
      <c r="S13" s="3"/>
      <c r="T13" s="3" t="s">
        <v>17</v>
      </c>
      <c r="U13" s="3" t="s">
        <v>67</v>
      </c>
      <c r="V13" s="3" t="str">
        <f>ROUND((3*MIN('[1]Puntos de control todos los dat'!D55,'[1]Puntos de control todos los dat'!D58)+MAX('[1]Puntos de control todos los dat'!D55,'[1]Puntos de control todos los dat'!D58))/4,3)&amp;" - "&amp;ROUND((MIN('[1]Puntos de control todos los dat'!D55,'[1]Puntos de control todos los dat'!D58)+3*MAX('[1]Puntos de control todos los dat'!D55,'[1]Puntos de control todos los dat'!D58))/4,3)</f>
        <v>78,408 - 79,503</v>
      </c>
      <c r="W13" s="38">
        <v>1.0854412977728898</v>
      </c>
      <c r="X13" s="38">
        <v>0.1182817050392274</v>
      </c>
      <c r="Y13" s="38">
        <v>8.5441297772889779</v>
      </c>
      <c r="Z13" s="38">
        <v>6.2150000000000034</v>
      </c>
      <c r="AA13" s="38">
        <v>4.0970368172978701E-2</v>
      </c>
      <c r="AB13" s="3"/>
      <c r="AC13" s="3" t="s">
        <v>63</v>
      </c>
      <c r="AD13" s="3" t="s">
        <v>63</v>
      </c>
      <c r="AE13" s="3" t="s">
        <v>63</v>
      </c>
      <c r="AF13" s="38" t="s">
        <v>731</v>
      </c>
      <c r="AG13" s="38" t="s">
        <v>731</v>
      </c>
      <c r="AH13" s="38" t="s">
        <v>731</v>
      </c>
      <c r="AI13" s="38" t="s">
        <v>731</v>
      </c>
      <c r="AJ13" s="38" t="s">
        <v>731</v>
      </c>
      <c r="AK13" s="3"/>
      <c r="AL13" s="4"/>
      <c r="AM13" s="4"/>
      <c r="AN13" s="3" t="s">
        <v>64</v>
      </c>
      <c r="AO13" s="3" t="s">
        <v>63</v>
      </c>
      <c r="AP13" s="3" t="s">
        <v>63</v>
      </c>
      <c r="AQ13" s="1"/>
      <c r="AR13" s="15" t="s">
        <v>63</v>
      </c>
      <c r="AS13" s="15" t="s">
        <v>63</v>
      </c>
      <c r="AT13" s="3"/>
      <c r="AU13" s="3" t="s">
        <v>63</v>
      </c>
      <c r="AV13" s="3" t="s">
        <v>63</v>
      </c>
      <c r="AW13" s="1"/>
      <c r="AX13" s="1"/>
      <c r="AY13" s="1"/>
    </row>
    <row r="14" spans="1:51" x14ac:dyDescent="0.25">
      <c r="A14" s="8" t="s">
        <v>68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S14" s="3"/>
      <c r="T14" s="3"/>
      <c r="U14" s="3"/>
      <c r="V14" s="3"/>
      <c r="W14" s="3"/>
      <c r="X14" s="3"/>
      <c r="AB14" s="3"/>
      <c r="AC14" s="3"/>
      <c r="AD14" s="3"/>
      <c r="AE14" s="3"/>
      <c r="AF14" s="3"/>
      <c r="AG14" s="3"/>
      <c r="AK14" s="3"/>
      <c r="AL14" s="4"/>
      <c r="AM14" s="4"/>
      <c r="AN14" s="3" t="s">
        <v>68</v>
      </c>
      <c r="AO14" s="3"/>
      <c r="AP14" s="3"/>
      <c r="AQ14" s="1"/>
      <c r="AR14" s="3"/>
      <c r="AS14" s="3"/>
      <c r="AT14" s="3"/>
      <c r="AU14" s="3"/>
      <c r="AV14" s="3"/>
      <c r="AW14" s="1"/>
      <c r="AX14" s="1"/>
      <c r="AY14" s="1"/>
    </row>
    <row r="15" spans="1:51" x14ac:dyDescent="0.25">
      <c r="A15" s="3" t="s">
        <v>14</v>
      </c>
      <c r="B15" s="3" t="s">
        <v>15</v>
      </c>
      <c r="C15" s="3" t="s">
        <v>69</v>
      </c>
      <c r="D15" s="3" t="str">
        <f>ROUND((MIN('[1]Puntos de control todos los dat'!E38,'[1]Puntos de control todos los dat'!E41,'[1]Puntos de control todos los dat'!E44)+MEDIAN('[1]Puntos de control todos los dat'!E38,'[1]Puntos de control todos los dat'!E41,'[1]Puntos de control todos los dat'!E44))/2,3)&amp;" - "&amp;ROUND((MEDIAN('[1]Puntos de control todos los dat'!E38,'[1]Puntos de control todos los dat'!E41,'[1]Puntos de control todos los dat'!E44)+MAX('[1]Puntos de control todos los dat'!E38,'[1]Puntos de control todos los dat'!E41,'[1]Puntos de control todos los dat'!E44))/2,3)</f>
        <v>1027,695 - 1045,915</v>
      </c>
      <c r="E15" s="38">
        <v>1</v>
      </c>
      <c r="F15" s="38">
        <v>0</v>
      </c>
      <c r="G15" s="38">
        <v>0</v>
      </c>
      <c r="H15" s="38">
        <v>0</v>
      </c>
      <c r="I15" s="38">
        <v>0</v>
      </c>
      <c r="J15" s="3"/>
      <c r="K15" s="3" t="s">
        <v>17</v>
      </c>
      <c r="L15" s="3" t="s">
        <v>70</v>
      </c>
      <c r="M15" s="3" t="str">
        <f>ROUND((3*MIN('[1]Puntos de control todos los dat'!E39,'[1]Puntos de control todos los dat'!E42)+MAX('[1]Puntos de control todos los dat'!E39,'[1]Puntos de control todos los dat'!E42))/4,3)&amp;" - "&amp;ROUND((MIN('[1]Puntos de control todos los dat'!E39,'[1]Puntos de control todos los dat'!E42)+3*MAX('[1]Puntos de control todos los dat'!E39,'[1]Puntos de control todos los dat'!E42))/4,3)</f>
        <v>332,99 - 336,89</v>
      </c>
      <c r="N15" s="38">
        <v>1</v>
      </c>
      <c r="O15" s="38">
        <v>0</v>
      </c>
      <c r="P15" s="38">
        <v>0</v>
      </c>
      <c r="Q15" s="38">
        <v>0</v>
      </c>
      <c r="R15" s="38">
        <v>0</v>
      </c>
      <c r="S15" s="3"/>
      <c r="T15" s="3" t="s">
        <v>15</v>
      </c>
      <c r="U15" s="3" t="s">
        <v>71</v>
      </c>
      <c r="V15" s="3" t="str">
        <f>ROUND((MIN('[1]Puntos de control todos los dat'!E40,'[1]Puntos de control todos los dat'!E43,'[1]Puntos de control todos los dat'!E46)+MEDIAN('[1]Puntos de control todos los dat'!E40,'[1]Puntos de control todos los dat'!E43,'[1]Puntos de control todos los dat'!E46))/2,3)&amp;" - "&amp;ROUND((MEDIAN('[1]Puntos de control todos los dat'!E40,'[1]Puntos de control todos los dat'!E43,'[1]Puntos de control todos los dat'!E46)+MAX('[1]Puntos de control todos los dat'!E40,'[1]Puntos de control todos los dat'!E43,'[1]Puntos de control todos los dat'!E46))/2,3)</f>
        <v>323,79 - 340,675</v>
      </c>
      <c r="W15" s="38">
        <v>1</v>
      </c>
      <c r="X15" s="38">
        <v>0</v>
      </c>
      <c r="Y15" s="38">
        <v>0</v>
      </c>
      <c r="Z15" s="38">
        <v>0</v>
      </c>
      <c r="AA15" s="38">
        <v>0</v>
      </c>
      <c r="AB15" s="3"/>
      <c r="AC15" s="3" t="s">
        <v>72</v>
      </c>
      <c r="AD15" s="3" t="s">
        <v>73</v>
      </c>
      <c r="AE15" s="3" t="str">
        <f>ROUND('[1]Puntos de control todos los dat'!E60,3)&amp;" - "&amp;ROUND('[1]Puntos de control todos los dat'!E60,3)</f>
        <v>1078,88 - 1078,88</v>
      </c>
      <c r="AF15" s="38">
        <v>1</v>
      </c>
      <c r="AG15" s="38">
        <v>0</v>
      </c>
      <c r="AH15" s="38">
        <v>0</v>
      </c>
      <c r="AI15" s="38">
        <v>0</v>
      </c>
      <c r="AJ15" s="38">
        <v>0</v>
      </c>
      <c r="AK15" s="3"/>
      <c r="AL15" s="4"/>
      <c r="AM15" s="4"/>
      <c r="AN15" s="3" t="s">
        <v>14</v>
      </c>
      <c r="AO15" s="3" t="s">
        <v>74</v>
      </c>
      <c r="AP15" s="16" t="s">
        <v>40</v>
      </c>
      <c r="AQ15" s="3"/>
      <c r="AR15" s="3" t="s">
        <v>22</v>
      </c>
      <c r="AS15" s="17" t="s">
        <v>23</v>
      </c>
      <c r="AT15" s="3"/>
      <c r="AU15" s="18" t="s">
        <v>74</v>
      </c>
      <c r="AV15" s="3" t="s">
        <v>40</v>
      </c>
      <c r="AW15" s="1"/>
      <c r="AX15" s="1"/>
      <c r="AY15" s="1"/>
    </row>
    <row r="16" spans="1:51" x14ac:dyDescent="0.25">
      <c r="A16" s="3" t="s">
        <v>25</v>
      </c>
      <c r="B16" s="1" t="s">
        <v>17</v>
      </c>
      <c r="C16" s="1" t="s">
        <v>75</v>
      </c>
      <c r="D16" s="9" t="str">
        <f>ROUND((3*MIN('[1]Puntos de control todos los dat'!E71,'[1]Puntos de control todos los dat'!E77)+MAX('[1]Puntos de control todos los dat'!E71,'[1]Puntos de control todos los dat'!E77))/4,3)&amp;" - "&amp;ROUND((MIN('[1]Puntos de control todos los dat'!E71,'[1]Puntos de control todos los dat'!E77)+3*MAX('[1]Puntos de control todos los dat'!E71,'[1]Puntos de control todos los dat'!E77))/4,3)</f>
        <v>1034,285 - 1040,075</v>
      </c>
      <c r="E16" s="39">
        <v>0.99800177691106129</v>
      </c>
      <c r="F16" s="40">
        <v>-2.885710648980749E-3</v>
      </c>
      <c r="G16" s="40">
        <v>-0.19982230889387109</v>
      </c>
      <c r="H16" s="40">
        <v>-2.0766666666668243</v>
      </c>
      <c r="I16" s="40">
        <v>-1.0001107666821E-3</v>
      </c>
      <c r="J16" s="1"/>
      <c r="K16" s="1" t="s">
        <v>72</v>
      </c>
      <c r="L16" s="1" t="s">
        <v>76</v>
      </c>
      <c r="M16" s="9" t="str">
        <f>ROUND('[1]Puntos de control todos los dat'!E78,3)&amp;" - "&amp;ROUND('[1]Puntos de control todos los dat'!E78,3)</f>
        <v>321,36 - 321,36</v>
      </c>
      <c r="N16" s="39" t="s">
        <v>731</v>
      </c>
      <c r="O16" s="39" t="s">
        <v>731</v>
      </c>
      <c r="P16" s="39" t="s">
        <v>731</v>
      </c>
      <c r="Q16" s="39" t="s">
        <v>731</v>
      </c>
      <c r="R16" s="39" t="s">
        <v>731</v>
      </c>
      <c r="S16" s="9"/>
      <c r="T16" s="1" t="s">
        <v>17</v>
      </c>
      <c r="U16" s="1" t="s">
        <v>77</v>
      </c>
      <c r="V16" s="9" t="str">
        <f>ROUND((3*MIN('[1]Puntos de control todos los dat'!E73,'[1]Puntos de control todos los dat'!E79)+MAX('[1]Puntos de control todos los dat'!E73,'[1]Puntos de control todos los dat'!E79))/4,3)&amp;" - "&amp;ROUND((MIN('[1]Puntos de control todos los dat'!E73,'[1]Puntos de control todos los dat'!E79)+3*MAX('[1]Puntos de control todos los dat'!E73,'[1]Puntos de control todos los dat'!E79))/4,3)</f>
        <v>333,303 - 337,828</v>
      </c>
      <c r="W16" s="39">
        <v>1.0088337275023049</v>
      </c>
      <c r="X16" s="39">
        <v>1.2688414013235325E-2</v>
      </c>
      <c r="Y16" s="39">
        <v>0.88337275023049333</v>
      </c>
      <c r="Z16" s="39">
        <v>2.9383333333333326</v>
      </c>
      <c r="AA16" s="39">
        <v>4.3974408540463682E-3</v>
      </c>
      <c r="AB16" s="9"/>
      <c r="AC16" s="1" t="s">
        <v>17</v>
      </c>
      <c r="AD16" s="1" t="s">
        <v>78</v>
      </c>
      <c r="AE16" s="9" t="str">
        <f>ROUND((3*MIN('[1]Puntos de control todos los dat'!E61,'[1]Puntos de control todos los dat'!E62)+MAX('[1]Puntos de control todos los dat'!E61,'[1]Puntos de control todos los dat'!E62))/4,3)&amp;" - "&amp;ROUND((MIN('[1]Puntos de control todos los dat'!E61,'[1]Puntos de control todos los dat'!E62)+3*MAX('[1]Puntos de control todos los dat'!E61,'[1]Puntos de control todos los dat'!E62))/4,3)</f>
        <v>371,183 - 378,968</v>
      </c>
      <c r="AF16" s="39" t="s">
        <v>731</v>
      </c>
      <c r="AG16" s="39" t="s">
        <v>731</v>
      </c>
      <c r="AH16" s="39" t="s">
        <v>731</v>
      </c>
      <c r="AI16" s="39" t="s">
        <v>731</v>
      </c>
      <c r="AJ16" s="39" t="s">
        <v>731</v>
      </c>
      <c r="AK16" s="9"/>
      <c r="AL16" s="4"/>
      <c r="AM16" s="4"/>
      <c r="AN16" s="13" t="s">
        <v>25</v>
      </c>
      <c r="AO16" s="13" t="s">
        <v>79</v>
      </c>
      <c r="AP16" s="13" t="s">
        <v>23</v>
      </c>
      <c r="AQ16" s="3"/>
      <c r="AR16" s="3" t="s">
        <v>22</v>
      </c>
      <c r="AS16" s="17" t="s">
        <v>23</v>
      </c>
      <c r="AT16" s="3"/>
      <c r="AU16" s="3" t="s">
        <v>24</v>
      </c>
      <c r="AV16" s="3" t="s">
        <v>23</v>
      </c>
      <c r="AW16" s="1"/>
      <c r="AX16" s="1"/>
      <c r="AY16" s="1"/>
    </row>
    <row r="17" spans="1:51" x14ac:dyDescent="0.25">
      <c r="A17" s="3" t="s">
        <v>35</v>
      </c>
      <c r="B17" s="1" t="s">
        <v>17</v>
      </c>
      <c r="C17" s="1" t="s">
        <v>80</v>
      </c>
      <c r="D17" s="9" t="str">
        <f>ROUND((3*MIN('[1]Puntos de control todos los dat'!E2,'[1]Puntos de control todos los dat'!E5)+MAX('[1]Puntos de control todos los dat'!E2,'[1]Puntos de control todos los dat'!E5))/4,3)&amp;" - "&amp;ROUND((MIN('[1]Puntos de control todos los dat'!E2,'[1]Puntos de control todos los dat'!E5)+3*MAX('[1]Puntos de control todos los dat'!E2,'[1]Puntos de control todos los dat'!E5))/4,3)</f>
        <v>326,18 - 332,74</v>
      </c>
      <c r="E17" s="39">
        <v>0.31701504601044966</v>
      </c>
      <c r="F17" s="40">
        <v>-1.6573767804232036</v>
      </c>
      <c r="G17" s="40">
        <v>-68.298495398955026</v>
      </c>
      <c r="H17" s="40">
        <v>-709.79666666666685</v>
      </c>
      <c r="I17" s="40">
        <v>-0.51858553632965187</v>
      </c>
      <c r="J17" s="1"/>
      <c r="K17" s="1" t="s">
        <v>15</v>
      </c>
      <c r="L17" s="1" t="s">
        <v>81</v>
      </c>
      <c r="M17" s="9" t="str">
        <f>ROUND((MIN('[1]Puntos de control todos los dat'!E3,'[1]Puntos de control todos los dat'!E6,'[1]Puntos de control todos los dat'!E9)+MEDIAN('[1]Puntos de control todos los dat'!E3,'[1]Puntos de control todos los dat'!E6,'[1]Puntos de control todos los dat'!E9))/2,3)&amp;" - "&amp;ROUND((MEDIAN('[1]Puntos de control todos los dat'!E3,'[1]Puntos de control todos los dat'!E6,'[1]Puntos de control todos los dat'!E9)+MAX('[1]Puntos de control todos los dat'!E3,'[1]Puntos de control todos los dat'!E6,'[1]Puntos de control todos los dat'!E9))/2,3)</f>
        <v>311,54 - 314,22</v>
      </c>
      <c r="N17" s="39">
        <v>0.93425688182958144</v>
      </c>
      <c r="O17" s="39">
        <v>-9.8108809206317024E-2</v>
      </c>
      <c r="P17" s="39">
        <v>-6.5743118170418562</v>
      </c>
      <c r="Q17" s="39">
        <v>-22.019999999999982</v>
      </c>
      <c r="R17" s="39">
        <v>-3.3988824746087089E-2</v>
      </c>
      <c r="S17" s="9"/>
      <c r="T17" s="1" t="s">
        <v>15</v>
      </c>
      <c r="U17" s="1" t="s">
        <v>82</v>
      </c>
      <c r="V17" s="9" t="str">
        <f>ROUND((MIN('[1]Puntos de control todos los dat'!E4,'[1]Puntos de control todos los dat'!E7,'[1]Puntos de control todos los dat'!E10)+MEDIAN('[1]Puntos de control todos los dat'!E4,'[1]Puntos de control todos los dat'!E7,'[1]Puntos de control todos los dat'!E10))/2,3)&amp;" - "&amp;ROUND((MEDIAN('[1]Puntos de control todos los dat'!E4,'[1]Puntos de control todos los dat'!E7,'[1]Puntos de control todos los dat'!E10)+MAX('[1]Puntos de control todos los dat'!E4,'[1]Puntos de control todos los dat'!E7,'[1]Puntos de control todos los dat'!E10))/2,3)</f>
        <v>328,79 - 345,15</v>
      </c>
      <c r="W17" s="39">
        <v>1.0127670661803023</v>
      </c>
      <c r="X17" s="39">
        <v>1.8302396143817078E-2</v>
      </c>
      <c r="Y17" s="39">
        <v>1.2767066180302322</v>
      </c>
      <c r="Z17" s="39">
        <v>4.2466666666666697</v>
      </c>
      <c r="AA17" s="39">
        <v>6.3430420711974153E-3</v>
      </c>
      <c r="AB17" s="9"/>
      <c r="AC17" s="1" t="s">
        <v>17</v>
      </c>
      <c r="AD17" s="1" t="s">
        <v>83</v>
      </c>
      <c r="AE17" s="9" t="str">
        <f>ROUND((3*MIN('[1]Puntos de control todos los dat'!E63,'[1]Puntos de control todos los dat'!E64)+MAX('[1]Puntos de control todos los dat'!E63,'[1]Puntos de control todos los dat'!E64))/4,3)&amp;" - "&amp;ROUND((MIN('[1]Puntos de control todos los dat'!E63,'[1]Puntos de control todos los dat'!E64)+3*MAX('[1]Puntos de control todos los dat'!E63,'[1]Puntos de control todos los dat'!E64))/4,3)</f>
        <v>1222,528 - 1327,223</v>
      </c>
      <c r="AF17" s="39" t="s">
        <v>731</v>
      </c>
      <c r="AG17" s="39" t="s">
        <v>731</v>
      </c>
      <c r="AH17" s="39" t="s">
        <v>731</v>
      </c>
      <c r="AI17" s="39" t="s">
        <v>731</v>
      </c>
      <c r="AJ17" s="39" t="s">
        <v>731</v>
      </c>
      <c r="AK17" s="9"/>
      <c r="AL17" s="4"/>
      <c r="AM17" s="4"/>
      <c r="AN17" s="19" t="s">
        <v>35</v>
      </c>
      <c r="AO17" s="19" t="s">
        <v>24</v>
      </c>
      <c r="AP17" s="19" t="s">
        <v>23</v>
      </c>
      <c r="AQ17" s="3"/>
      <c r="AR17" s="3" t="s">
        <v>22</v>
      </c>
      <c r="AS17" s="3" t="s">
        <v>23</v>
      </c>
      <c r="AT17" s="3"/>
      <c r="AU17" s="3" t="s">
        <v>22</v>
      </c>
      <c r="AV17" s="3" t="s">
        <v>23</v>
      </c>
      <c r="AW17" s="1"/>
      <c r="AX17" s="1"/>
      <c r="AY17" s="1"/>
    </row>
    <row r="18" spans="1:51" x14ac:dyDescent="0.25">
      <c r="A18" s="3" t="s">
        <v>42</v>
      </c>
      <c r="B18" s="1" t="s">
        <v>17</v>
      </c>
      <c r="C18" s="1" t="s">
        <v>84</v>
      </c>
      <c r="D18" s="9" t="str">
        <f>ROUND((3*MIN('[1]Puntos de control todos los dat'!E11,'[1]Puntos de control todos los dat'!E17)+MAX('[1]Puntos de control todos los dat'!E11,'[1]Puntos de control todos los dat'!E17))/4,3)&amp;" - "&amp;ROUND((MIN('[1]Puntos de control todos los dat'!E11,'[1]Puntos de control todos los dat'!E17)+3*MAX('[1]Puntos de control todos los dat'!E11,'[1]Puntos de control todos los dat'!E17))/4,3)</f>
        <v>317,313 - 345,438</v>
      </c>
      <c r="E18" s="39">
        <v>0.31885770919599576</v>
      </c>
      <c r="F18" s="40">
        <v>-1.6490153324466403</v>
      </c>
      <c r="G18" s="40">
        <v>-68.11422908040042</v>
      </c>
      <c r="H18" s="40">
        <v>-707.88166666666689</v>
      </c>
      <c r="I18" s="40">
        <v>-0.51646382020941695</v>
      </c>
      <c r="J18" s="1"/>
      <c r="K18" s="1" t="s">
        <v>15</v>
      </c>
      <c r="L18" s="1" t="s">
        <v>85</v>
      </c>
      <c r="M18" s="9" t="str">
        <f>ROUND((MIN('[1]Puntos de control todos los dat'!E12,'[1]Puntos de control todos los dat'!E15,'[1]Puntos de control todos los dat'!E18)+MEDIAN('[1]Puntos de control todos los dat'!E12,'[1]Puntos de control todos los dat'!E15,'[1]Puntos de control todos los dat'!E18))/2,3)&amp;" - "&amp;ROUND((MEDIAN('[1]Puntos de control todos los dat'!E12,'[1]Puntos de control todos los dat'!E15,'[1]Puntos de control todos los dat'!E18)+MAX('[1]Puntos de control todos los dat'!E12,'[1]Puntos de control todos los dat'!E15,'[1]Puntos de control todos los dat'!E18))/2,3)</f>
        <v>311,67 - 323,99</v>
      </c>
      <c r="N18" s="39">
        <v>0.94787126052427306</v>
      </c>
      <c r="O18" s="39">
        <v>-7.7236968691712524E-2</v>
      </c>
      <c r="P18" s="39">
        <v>-5.2128739475726942</v>
      </c>
      <c r="Q18" s="39">
        <v>-17.45999999999998</v>
      </c>
      <c r="R18" s="39">
        <v>-2.6761901842371445E-2</v>
      </c>
      <c r="S18" s="9"/>
      <c r="T18" s="1" t="s">
        <v>17</v>
      </c>
      <c r="U18" s="1" t="s">
        <v>86</v>
      </c>
      <c r="V18" s="9" t="str">
        <f>ROUND((3*MIN('[1]Puntos de control todos los dat'!E16,'[1]Puntos de control todos los dat'!E19)+MAX('[1]Puntos de control todos los dat'!E16,'[1]Puntos de control todos los dat'!E19))/4,3)&amp;" - "&amp;ROUND((MIN('[1]Puntos de control todos los dat'!E16,'[1]Puntos de control todos los dat'!E19)+3*MAX('[1]Puntos de control todos los dat'!E16,'[1]Puntos de control todos los dat'!E19))/4,3)</f>
        <v>305,203 - 317,308</v>
      </c>
      <c r="W18" s="39">
        <v>0.93574878742935019</v>
      </c>
      <c r="X18" s="39">
        <v>-9.5806821247347448E-2</v>
      </c>
      <c r="Y18" s="39">
        <v>-6.4251212570649807</v>
      </c>
      <c r="Z18" s="39">
        <v>-21.37166666666667</v>
      </c>
      <c r="AA18" s="39">
        <v>-3.3191916734182529E-2</v>
      </c>
      <c r="AB18" s="9"/>
      <c r="AC18" s="1" t="s">
        <v>17</v>
      </c>
      <c r="AD18" s="1" t="s">
        <v>87</v>
      </c>
      <c r="AE18" s="9" t="str">
        <f>ROUND((3*MIN('[1]Puntos de control todos los dat'!E65,'[1]Puntos de control todos los dat'!E66)+MAX('[1]Puntos de control todos los dat'!E65,'[1]Puntos de control todos los dat'!E66))/4,3)&amp;" - "&amp;ROUND((MIN('[1]Puntos de control todos los dat'!E65,'[1]Puntos de control todos los dat'!E66)+3*MAX('[1]Puntos de control todos los dat'!E65,'[1]Puntos de control todos los dat'!E66))/4,3)</f>
        <v>1481,36 - 1829,22</v>
      </c>
      <c r="AF18" s="39" t="s">
        <v>731</v>
      </c>
      <c r="AG18" s="39" t="s">
        <v>731</v>
      </c>
      <c r="AH18" s="39" t="s">
        <v>731</v>
      </c>
      <c r="AI18" s="39" t="s">
        <v>731</v>
      </c>
      <c r="AJ18" s="39" t="s">
        <v>731</v>
      </c>
      <c r="AK18" s="9"/>
      <c r="AL18" s="4"/>
      <c r="AM18" s="4"/>
      <c r="AN18" s="19" t="s">
        <v>42</v>
      </c>
      <c r="AO18" s="19" t="s">
        <v>24</v>
      </c>
      <c r="AP18" s="19" t="s">
        <v>23</v>
      </c>
      <c r="AQ18" s="3"/>
      <c r="AR18" s="3" t="s">
        <v>22</v>
      </c>
      <c r="AS18" s="3" t="s">
        <v>23</v>
      </c>
      <c r="AT18" s="3"/>
      <c r="AU18" s="3" t="s">
        <v>24</v>
      </c>
      <c r="AV18" s="3" t="s">
        <v>23</v>
      </c>
      <c r="AW18" s="1"/>
      <c r="AX18" s="1"/>
      <c r="AY18" s="1"/>
    </row>
    <row r="19" spans="1:51" x14ac:dyDescent="0.25">
      <c r="A19" s="3" t="s">
        <v>48</v>
      </c>
      <c r="B19" s="1" t="s">
        <v>17</v>
      </c>
      <c r="C19" s="1" t="s">
        <v>88</v>
      </c>
      <c r="D19" s="9" t="str">
        <f>ROUND((3*MIN('[1]Puntos de control todos los dat'!E20,'[1]Puntos de control todos los dat'!E26)+MAX('[1]Puntos de control todos los dat'!E20,'[1]Puntos de control todos los dat'!E26))/4,3)&amp;" - "&amp;ROUND((MIN('[1]Puntos de control todos los dat'!E20,'[1]Puntos de control todos los dat'!E26)+3*MAX('[1]Puntos de control todos los dat'!E20,'[1]Puntos de control todos los dat'!E26))/4,3)</f>
        <v>311,893 - 313,618</v>
      </c>
      <c r="E19" s="39">
        <v>0.3009410572300073</v>
      </c>
      <c r="F19" s="40">
        <v>-1.732447148663528</v>
      </c>
      <c r="G19" s="40">
        <v>-69.905894276999277</v>
      </c>
      <c r="H19" s="40">
        <v>-726.50166666666689</v>
      </c>
      <c r="I19" s="40">
        <v>-0.53734866686308191</v>
      </c>
      <c r="J19" s="1"/>
      <c r="K19" s="1" t="s">
        <v>17</v>
      </c>
      <c r="L19" s="1" t="s">
        <v>89</v>
      </c>
      <c r="M19" s="9" t="str">
        <f>ROUND((3*MIN('[1]Puntos de control todos los dat'!E21,'[1]Puntos de control todos los dat'!E27)+MAX('[1]Puntos de control todos los dat'!E21,'[1]Puntos de control todos los dat'!E27))/4,3)&amp;" - "&amp;ROUND((MIN('[1]Puntos de control todos los dat'!E21,'[1]Puntos de control todos los dat'!E27)+3*MAX('[1]Puntos de control todos los dat'!E21,'[1]Puntos de control todos los dat'!E27))/4,3)</f>
        <v>286,49 - 315,79</v>
      </c>
      <c r="N19" s="39">
        <v>0.8990864035349615</v>
      </c>
      <c r="O19" s="39">
        <v>-0.15346832735509502</v>
      </c>
      <c r="P19" s="39">
        <v>-10.09135964650385</v>
      </c>
      <c r="Q19" s="39">
        <v>-33.800000000000011</v>
      </c>
      <c r="R19" s="39">
        <v>-5.3137970066658304E-2</v>
      </c>
      <c r="S19" s="9"/>
      <c r="T19" s="1" t="s">
        <v>15</v>
      </c>
      <c r="U19" s="1" t="s">
        <v>90</v>
      </c>
      <c r="V19" s="9" t="str">
        <f>ROUND((MIN('[1]Puntos de control todos los dat'!E22,'[1]Puntos de control todos los dat'!E25,'[1]Puntos de control todos los dat'!E28)+MEDIAN('[1]Puntos de control todos los dat'!E22,'[1]Puntos de control todos los dat'!E25,'[1]Puntos de control todos los dat'!E28))/2,3)&amp;" - "&amp;ROUND((MEDIAN('[1]Puntos de control todos los dat'!E22,'[1]Puntos de control todos los dat'!E25,'[1]Puntos de control todos los dat'!E28)+MAX('[1]Puntos de control todos los dat'!E22,'[1]Puntos de control todos los dat'!E25,'[1]Puntos de control todos los dat'!E28))/2,3)</f>
        <v>328,945 - 338,52</v>
      </c>
      <c r="W19" s="39">
        <v>1.004309135366978</v>
      </c>
      <c r="X19" s="39">
        <v>6.2034121316077873E-3</v>
      </c>
      <c r="Y19" s="39">
        <v>0.43091353669779675</v>
      </c>
      <c r="Z19" s="39">
        <v>1.4333333333333371</v>
      </c>
      <c r="AA19" s="39">
        <v>2.1499355019349476E-3</v>
      </c>
      <c r="AB19" s="9"/>
      <c r="AC19" s="1" t="s">
        <v>17</v>
      </c>
      <c r="AD19" s="1" t="s">
        <v>91</v>
      </c>
      <c r="AE19" s="9" t="str">
        <f>ROUND((3*MIN('[1]Puntos de control todos los dat'!E67,'[1]Puntos de control todos los dat'!E68)+MAX('[1]Puntos de control todos los dat'!E67,'[1]Puntos de control todos los dat'!E68))/4,3)&amp;" - "&amp;ROUND((MIN('[1]Puntos de control todos los dat'!E67,'[1]Puntos de control todos los dat'!E68)+3*MAX('[1]Puntos de control todos los dat'!E67,'[1]Puntos de control todos los dat'!E68))/4,3)</f>
        <v>1239,583 - 1574,888</v>
      </c>
      <c r="AF19" s="39" t="s">
        <v>731</v>
      </c>
      <c r="AG19" s="39" t="s">
        <v>731</v>
      </c>
      <c r="AH19" s="39" t="s">
        <v>731</v>
      </c>
      <c r="AI19" s="39" t="s">
        <v>731</v>
      </c>
      <c r="AJ19" s="39" t="s">
        <v>731</v>
      </c>
      <c r="AK19" s="9"/>
      <c r="AL19" s="4"/>
      <c r="AM19" s="4"/>
      <c r="AN19" s="19" t="s">
        <v>48</v>
      </c>
      <c r="AO19" s="19" t="s">
        <v>24</v>
      </c>
      <c r="AP19" s="19" t="s">
        <v>23</v>
      </c>
      <c r="AQ19" s="3"/>
      <c r="AR19" s="3" t="s">
        <v>24</v>
      </c>
      <c r="AS19" s="3" t="s">
        <v>23</v>
      </c>
      <c r="AT19" s="3"/>
      <c r="AU19" s="3" t="s">
        <v>22</v>
      </c>
      <c r="AV19" s="3" t="s">
        <v>23</v>
      </c>
      <c r="AW19" s="1"/>
      <c r="AX19" s="1"/>
      <c r="AY19" s="1"/>
    </row>
    <row r="20" spans="1:51" x14ac:dyDescent="0.25">
      <c r="A20" s="3" t="s">
        <v>54</v>
      </c>
      <c r="B20" s="1" t="s">
        <v>17</v>
      </c>
      <c r="C20" s="1" t="s">
        <v>92</v>
      </c>
      <c r="D20" s="9" t="str">
        <f>ROUND((3*MIN('[1]Puntos de control todos los dat'!E29,'[1]Puntos de control todos los dat'!E35)+MAX('[1]Puntos de control todos los dat'!E29,'[1]Puntos de control todos los dat'!E35))/4,3)&amp;" - "&amp;ROUND((MIN('[1]Puntos de control todos los dat'!E29,'[1]Puntos de control todos los dat'!E35)+3*MAX('[1]Puntos de control todos los dat'!E29,'[1]Puntos de control todos los dat'!E35))/4,3)</f>
        <v>1026,063 - 1027,288</v>
      </c>
      <c r="E20" s="39">
        <v>0.98789359061123816</v>
      </c>
      <c r="F20" s="40">
        <v>-1.7572442313295977E-2</v>
      </c>
      <c r="G20" s="40">
        <v>-1.2106409388761841</v>
      </c>
      <c r="H20" s="40">
        <v>-12.581666666666706</v>
      </c>
      <c r="I20" s="40">
        <v>-6.0900691294242726E-3</v>
      </c>
      <c r="J20" s="1"/>
      <c r="K20" s="1" t="s">
        <v>17</v>
      </c>
      <c r="L20" s="1" t="s">
        <v>93</v>
      </c>
      <c r="M20" s="9" t="str">
        <f>ROUND((3*MIN('[1]Puntos de control todos los dat'!E30,'[1]Puntos de control todos los dat'!E33)+MAX('[1]Puntos de control todos los dat'!E30,'[1]Puntos de control todos los dat'!E33))/4,3)&amp;" - "&amp;ROUND((MIN('[1]Puntos de control todos los dat'!E30,'[1]Puntos de control todos los dat'!E33)+3*MAX('[1]Puntos de control todos los dat'!E30,'[1]Puntos de control todos los dat'!E33))/4,3)</f>
        <v>319,03 - 331,09</v>
      </c>
      <c r="N20" s="39">
        <v>0.97050217949483486</v>
      </c>
      <c r="O20" s="39">
        <v>-4.3196642027908953E-2</v>
      </c>
      <c r="P20" s="39">
        <v>-2.949782050516514</v>
      </c>
      <c r="Q20" s="39">
        <v>-9.8799999999999955</v>
      </c>
      <c r="R20" s="39">
        <v>-1.4969696969696963E-2</v>
      </c>
      <c r="S20" s="9"/>
      <c r="T20" s="1" t="s">
        <v>15</v>
      </c>
      <c r="U20" s="1" t="s">
        <v>94</v>
      </c>
      <c r="V20" s="9" t="str">
        <f>ROUND((MIN('[1]Puntos de control todos los dat'!E31,'[1]Puntos de control todos los dat'!E34,'[1]Puntos de control todos los dat'!E37)+MEDIAN('[1]Puntos de control todos los dat'!E31,'[1]Puntos de control todos los dat'!E34,'[1]Puntos de control todos los dat'!E37))/2,3)&amp;" - "&amp;ROUND((MEDIAN('[1]Puntos de control todos los dat'!E31,'[1]Puntos de control todos los dat'!E34,'[1]Puntos de control todos los dat'!E37)+MAX('[1]Puntos de control todos los dat'!E31,'[1]Puntos de control todos los dat'!E34,'[1]Puntos de control todos los dat'!E37))/2,3)</f>
        <v>318,325 - 326,325</v>
      </c>
      <c r="W20" s="39">
        <v>0.96850322684090284</v>
      </c>
      <c r="X20" s="39">
        <v>-4.617123930652256E-2</v>
      </c>
      <c r="Y20" s="39">
        <v>-3.1496773159097158</v>
      </c>
      <c r="Z20" s="39">
        <v>-10.476666666666631</v>
      </c>
      <c r="AA20" s="39">
        <v>-1.6000366537190745E-2</v>
      </c>
      <c r="AB20" s="9"/>
      <c r="AC20" s="1" t="s">
        <v>17</v>
      </c>
      <c r="AD20" s="1" t="s">
        <v>95</v>
      </c>
      <c r="AE20" s="9" t="str">
        <f>ROUND((3*MIN('[1]Puntos de control todos los dat'!E69,'[1]Puntos de control todos los dat'!E70)+MAX('[1]Puntos de control todos los dat'!E69,'[1]Puntos de control todos los dat'!E70))/4,3)&amp;" - "&amp;ROUND((MIN('[1]Puntos de control todos los dat'!E69,'[1]Puntos de control todos los dat'!E70)+3*MAX('[1]Puntos de control todos los dat'!E69,'[1]Puntos de control todos los dat'!E70))/4,3)</f>
        <v>218,315 - 323,465</v>
      </c>
      <c r="AF20" s="39" t="s">
        <v>731</v>
      </c>
      <c r="AG20" s="39" t="s">
        <v>731</v>
      </c>
      <c r="AH20" s="39" t="s">
        <v>731</v>
      </c>
      <c r="AI20" s="39" t="s">
        <v>731</v>
      </c>
      <c r="AJ20" s="39" t="s">
        <v>731</v>
      </c>
      <c r="AK20" s="9"/>
      <c r="AL20" s="4"/>
      <c r="AM20" s="4"/>
      <c r="AN20" s="13" t="s">
        <v>54</v>
      </c>
      <c r="AO20" s="13" t="s">
        <v>79</v>
      </c>
      <c r="AP20" s="13" t="s">
        <v>23</v>
      </c>
      <c r="AQ20" s="3"/>
      <c r="AR20" s="3" t="s">
        <v>96</v>
      </c>
      <c r="AS20" s="3" t="s">
        <v>13</v>
      </c>
      <c r="AT20" s="3"/>
      <c r="AU20" s="3" t="s">
        <v>96</v>
      </c>
      <c r="AV20" s="3" t="s">
        <v>13</v>
      </c>
      <c r="AW20" s="1"/>
      <c r="AX20" s="1"/>
      <c r="AY20" s="1"/>
    </row>
    <row r="21" spans="1:51" x14ac:dyDescent="0.25">
      <c r="A21" s="3" t="s">
        <v>59</v>
      </c>
      <c r="B21" s="1" t="s">
        <v>17</v>
      </c>
      <c r="C21" s="1" t="s">
        <v>97</v>
      </c>
      <c r="D21" s="9" t="str">
        <f>ROUND((3*MIN('[1]Puntos de control todos los dat'!E47,'[1]Puntos de control todos los dat'!E50)+MAX('[1]Puntos de control todos los dat'!E47,'[1]Puntos de control todos los dat'!E50))/4,3)&amp;" - "&amp;ROUND((MIN('[1]Puntos de control todos los dat'!E47,'[1]Puntos de control todos los dat'!E50)+3*MAX('[1]Puntos de control todos los dat'!E47,'[1]Puntos de control todos los dat'!E50))/4,3)</f>
        <v>526,648 - 883,423</v>
      </c>
      <c r="E21" s="39">
        <v>0.67840315353602076</v>
      </c>
      <c r="F21" s="40">
        <v>-0.55978521864750597</v>
      </c>
      <c r="G21" s="40">
        <v>-32.15968464639792</v>
      </c>
      <c r="H21" s="40">
        <v>-334.22166666666692</v>
      </c>
      <c r="I21" s="40">
        <v>-0.19160881924372369</v>
      </c>
      <c r="J21" s="1"/>
      <c r="K21" s="1" t="s">
        <v>17</v>
      </c>
      <c r="L21" s="1" t="s">
        <v>98</v>
      </c>
      <c r="M21" s="9" t="str">
        <f>ROUND((3*MIN('[1]Puntos de control todos los dat'!E48,'[1]Puntos de control todos los dat'!E51)+MAX('[1]Puntos de control todos los dat'!E48,'[1]Puntos de control todos los dat'!E51))/4,3)&amp;" - "&amp;ROUND((MIN('[1]Puntos de control todos los dat'!E48,'[1]Puntos de control todos los dat'!E51)+3*MAX('[1]Puntos de control todos los dat'!E48,'[1]Puntos de control todos los dat'!E51))/4,3)</f>
        <v>548,133 - 994,538</v>
      </c>
      <c r="N21" s="39">
        <v>2.3029049979100735</v>
      </c>
      <c r="O21" s="39">
        <v>1.203454896640515</v>
      </c>
      <c r="P21" s="39">
        <v>130.29049979100736</v>
      </c>
      <c r="Q21" s="39">
        <v>436.39500000000004</v>
      </c>
      <c r="R21" s="39">
        <v>0.39447244130076159</v>
      </c>
      <c r="S21" s="9"/>
      <c r="T21" s="1" t="s">
        <v>17</v>
      </c>
      <c r="U21" s="1" t="s">
        <v>99</v>
      </c>
      <c r="V21" s="9" t="str">
        <f>ROUND((3*MIN('[1]Puntos de control todos los dat'!E49,'[1]Puntos de control todos los dat'!E52)+MAX('[1]Puntos de control todos los dat'!E49,'[1]Puntos de control todos los dat'!E52))/4,3)&amp;" - "&amp;ROUND((MIN('[1]Puntos de control todos los dat'!E49,'[1]Puntos de control todos los dat'!E52)+3*MAX('[1]Puntos de control todos los dat'!E49,'[1]Puntos de control todos los dat'!E52))/4,3)</f>
        <v>567,065 - 1025,095</v>
      </c>
      <c r="W21" s="39">
        <v>2.3933138253096562</v>
      </c>
      <c r="X21" s="39">
        <v>1.259009583893862</v>
      </c>
      <c r="Y21" s="39">
        <v>139.33138253096561</v>
      </c>
      <c r="Z21" s="39">
        <v>463.45333333333326</v>
      </c>
      <c r="AA21" s="39">
        <v>0.4106056489433334</v>
      </c>
      <c r="AB21" s="9"/>
      <c r="AC21" s="1" t="s">
        <v>63</v>
      </c>
      <c r="AD21" s="1" t="s">
        <v>63</v>
      </c>
      <c r="AE21" s="9" t="s">
        <v>63</v>
      </c>
      <c r="AF21" s="39" t="s">
        <v>731</v>
      </c>
      <c r="AG21" s="39" t="s">
        <v>731</v>
      </c>
      <c r="AH21" s="39" t="s">
        <v>731</v>
      </c>
      <c r="AI21" s="39" t="s">
        <v>731</v>
      </c>
      <c r="AJ21" s="39" t="s">
        <v>731</v>
      </c>
      <c r="AK21" s="9"/>
      <c r="AL21" s="4"/>
      <c r="AM21" s="4"/>
      <c r="AN21" s="3" t="s">
        <v>59</v>
      </c>
      <c r="AO21" s="3" t="s">
        <v>63</v>
      </c>
      <c r="AP21" s="3" t="s">
        <v>63</v>
      </c>
      <c r="AQ21" s="1"/>
      <c r="AR21" s="3" t="s">
        <v>63</v>
      </c>
      <c r="AS21" s="3" t="s">
        <v>63</v>
      </c>
      <c r="AT21" s="3"/>
      <c r="AU21" s="3" t="s">
        <v>63</v>
      </c>
      <c r="AV21" s="3" t="s">
        <v>63</v>
      </c>
      <c r="AW21" s="1"/>
      <c r="AX21" s="1"/>
      <c r="AY21" s="1"/>
    </row>
    <row r="22" spans="1:51" x14ac:dyDescent="0.25">
      <c r="A22" s="3" t="s">
        <v>64</v>
      </c>
      <c r="B22" s="1" t="s">
        <v>17</v>
      </c>
      <c r="C22" s="1" t="s">
        <v>100</v>
      </c>
      <c r="D22" s="9" t="str">
        <f>ROUND((3*MIN('[1]Puntos de control todos los dat'!E53,'[1]Puntos de control todos los dat'!E56)+MAX('[1]Puntos de control todos los dat'!E53,'[1]Puntos de control todos los dat'!E56))/4,3)&amp;" - "&amp;ROUND((MIN('[1]Puntos de control todos los dat'!E53,'[1]Puntos de control todos los dat'!E56)+3*MAX('[1]Puntos de control todos los dat'!E53,'[1]Puntos de control todos los dat'!E56))/4,3)</f>
        <v>609,628 - 1099,403</v>
      </c>
      <c r="E22" s="39">
        <v>0.82223672689133565</v>
      </c>
      <c r="F22" s="40">
        <v>-0.28237428061063724</v>
      </c>
      <c r="G22" s="40">
        <v>-17.776327310866435</v>
      </c>
      <c r="H22" s="40">
        <v>-184.7416666666669</v>
      </c>
      <c r="I22" s="40">
        <v>-9.7552239226305987E-2</v>
      </c>
      <c r="J22" s="1"/>
      <c r="K22" s="1" t="s">
        <v>17</v>
      </c>
      <c r="L22" s="1" t="s">
        <v>101</v>
      </c>
      <c r="M22" s="9" t="str">
        <f>ROUND((3*MIN('[1]Puntos de control todos los dat'!E54,'[1]Puntos de control todos los dat'!E57)+MAX('[1]Puntos de control todos los dat'!E54,'[1]Puntos de control todos los dat'!E57))/4,3)&amp;" - "&amp;ROUND((MIN('[1]Puntos de control todos los dat'!E54,'[1]Puntos de control todos los dat'!E57)+3*MAX('[1]Puntos de control todos los dat'!E54,'[1]Puntos de control todos los dat'!E57))/4,3)</f>
        <v>342,185 - 351,035</v>
      </c>
      <c r="N22" s="39">
        <v>1.0348420612647042</v>
      </c>
      <c r="O22" s="39">
        <v>4.9410598819076924E-2</v>
      </c>
      <c r="P22" s="39">
        <v>3.4842061264704238</v>
      </c>
      <c r="Q22" s="39">
        <v>11.670000000000016</v>
      </c>
      <c r="R22" s="39">
        <v>1.7122734942410706E-2</v>
      </c>
      <c r="S22" s="9"/>
      <c r="T22" s="1" t="s">
        <v>17</v>
      </c>
      <c r="U22" s="1" t="s">
        <v>102</v>
      </c>
      <c r="V22" s="9" t="str">
        <f>ROUND((3*MIN('[1]Puntos de control todos los dat'!E55,'[1]Puntos de control todos los dat'!E58)+MAX('[1]Puntos de control todos los dat'!E55,'[1]Puntos de control todos los dat'!E58))/4,3)&amp;" - "&amp;ROUND((MIN('[1]Puntos de control todos los dat'!E55,'[1]Puntos de control todos los dat'!E58)+3*MAX('[1]Puntos de control todos los dat'!E55,'[1]Puntos de control todos los dat'!E58))/4,3)</f>
        <v>351,838 - 360,613</v>
      </c>
      <c r="W22" s="39">
        <v>1.070945404257025</v>
      </c>
      <c r="X22" s="39">
        <v>9.8884934789111076E-2</v>
      </c>
      <c r="Y22" s="39">
        <v>7.0945404257025002</v>
      </c>
      <c r="Z22" s="39">
        <v>23.598333333333358</v>
      </c>
      <c r="AA22" s="39">
        <v>3.4257496171164123E-2</v>
      </c>
      <c r="AB22" s="9"/>
      <c r="AC22" s="1" t="s">
        <v>63</v>
      </c>
      <c r="AD22" s="1" t="s">
        <v>63</v>
      </c>
      <c r="AE22" s="9" t="s">
        <v>63</v>
      </c>
      <c r="AF22" s="39" t="s">
        <v>731</v>
      </c>
      <c r="AG22" s="39" t="s">
        <v>731</v>
      </c>
      <c r="AH22" s="39" t="s">
        <v>731</v>
      </c>
      <c r="AI22" s="39" t="s">
        <v>731</v>
      </c>
      <c r="AJ22" s="39" t="s">
        <v>731</v>
      </c>
      <c r="AK22" s="9"/>
      <c r="AL22" s="4"/>
      <c r="AM22" s="4"/>
      <c r="AN22" s="3" t="s">
        <v>64</v>
      </c>
      <c r="AO22" s="3" t="s">
        <v>63</v>
      </c>
      <c r="AP22" s="3" t="s">
        <v>63</v>
      </c>
      <c r="AQ22" s="1"/>
      <c r="AR22" s="3" t="s">
        <v>63</v>
      </c>
      <c r="AS22" s="3" t="s">
        <v>63</v>
      </c>
      <c r="AT22" s="3"/>
      <c r="AU22" s="3" t="s">
        <v>63</v>
      </c>
      <c r="AV22" s="3" t="s">
        <v>63</v>
      </c>
      <c r="AW22" s="1"/>
      <c r="AX22" s="1"/>
      <c r="AY22" s="1"/>
    </row>
    <row r="23" spans="1:51" x14ac:dyDescent="0.25">
      <c r="A23" s="20" t="s">
        <v>759</v>
      </c>
      <c r="B23" s="1"/>
      <c r="C23" s="1"/>
      <c r="D23" s="9"/>
      <c r="E23" s="9"/>
      <c r="F23" s="1"/>
      <c r="G23" s="1"/>
      <c r="H23" s="1"/>
      <c r="I23" s="1"/>
      <c r="J23" s="1"/>
      <c r="K23" s="1"/>
      <c r="L23" s="1"/>
      <c r="M23" s="9"/>
      <c r="N23" s="9"/>
      <c r="O23" s="9"/>
      <c r="S23" s="9"/>
      <c r="T23" s="1"/>
      <c r="U23" s="1"/>
      <c r="V23" s="9"/>
      <c r="W23" s="9"/>
      <c r="X23" s="9"/>
      <c r="AB23" s="9"/>
      <c r="AC23" s="1"/>
      <c r="AD23" s="1"/>
      <c r="AE23" s="9"/>
      <c r="AF23" s="9"/>
      <c r="AG23" s="9"/>
      <c r="AK23" s="9"/>
      <c r="AL23" s="1"/>
      <c r="AM23" s="1"/>
      <c r="AN23" s="1" t="s">
        <v>759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3" t="s">
        <v>14</v>
      </c>
      <c r="B24" s="11" t="s">
        <v>15</v>
      </c>
      <c r="C24" s="11" t="s">
        <v>103</v>
      </c>
      <c r="D24" s="11" t="str">
        <f>ROUND((MIN('[1]Puntos de control todos los dat'!F38,'[1]Puntos de control todos los dat'!F41,'[1]Puntos de control todos los dat'!F44)+MEDIAN('[1]Puntos de control todos los dat'!F38,'[1]Puntos de control todos los dat'!F41,'[1]Puntos de control todos los dat'!F44))/2,3)&amp;" - "&amp;ROUND((MEDIAN('[1]Puntos de control todos los dat'!F38,'[1]Puntos de control todos los dat'!F41,'[1]Puntos de control todos los dat'!F44)+MAX('[1]Puntos de control todos los dat'!F38,'[1]Puntos de control todos los dat'!F41,'[1]Puntos de control todos los dat'!F44))/2,3)</f>
        <v>617,4 - 626,45</v>
      </c>
      <c r="E24" s="41">
        <v>1</v>
      </c>
      <c r="F24" s="38">
        <v>0</v>
      </c>
      <c r="G24" s="38">
        <v>0</v>
      </c>
      <c r="H24" s="38">
        <v>0</v>
      </c>
      <c r="I24" s="38">
        <v>0</v>
      </c>
      <c r="J24" s="1"/>
      <c r="K24" s="1" t="s">
        <v>15</v>
      </c>
      <c r="L24" s="11" t="s">
        <v>104</v>
      </c>
      <c r="M24" s="11" t="str">
        <f>ROUND((MIN('[1]Puntos de control todos los dat'!F39,'[1]Puntos de control todos los dat'!F42,'[1]Puntos de control todos los dat'!F45)+MEDIAN('[1]Puntos de control todos los dat'!F39,'[1]Puntos de control todos los dat'!F42,'[1]Puntos de control todos los dat'!F45))/2,3)&amp;" - "&amp;ROUND((MEDIAN('[1]Puntos de control todos los dat'!F39,'[1]Puntos de control todos los dat'!F42,'[1]Puntos de control todos los dat'!F45)+MAX('[1]Puntos de control todos los dat'!F39,'[1]Puntos de control todos los dat'!F42,'[1]Puntos de control todos los dat'!F45))/2,3)</f>
        <v>645,8 - 675</v>
      </c>
      <c r="N24" s="41">
        <v>1</v>
      </c>
      <c r="O24" s="41">
        <v>0</v>
      </c>
      <c r="P24" s="41">
        <v>0</v>
      </c>
      <c r="Q24" s="41">
        <v>0</v>
      </c>
      <c r="R24" s="41">
        <v>0</v>
      </c>
      <c r="S24" s="3"/>
      <c r="T24" s="1" t="s">
        <v>15</v>
      </c>
      <c r="U24" s="11" t="s">
        <v>105</v>
      </c>
      <c r="V24" s="11" t="str">
        <f>ROUND((MIN('[1]Puntos de control todos los dat'!F40,'[1]Puntos de control todos los dat'!F43,'[1]Puntos de control todos los dat'!F46)+MEDIAN('[1]Puntos de control todos los dat'!F40,'[1]Puntos de control todos los dat'!F43,'[1]Puntos de control todos los dat'!F46))/2,3)&amp;" - "&amp;ROUND((MEDIAN('[1]Puntos de control todos los dat'!F40,'[1]Puntos de control todos los dat'!F43,'[1]Puntos de control todos los dat'!F46)+MAX('[1]Puntos de control todos los dat'!F40,'[1]Puntos de control todos los dat'!F43,'[1]Puntos de control todos los dat'!F46))/2,3)</f>
        <v>661,6 - 676,7</v>
      </c>
      <c r="W24" s="41">
        <v>1</v>
      </c>
      <c r="X24" s="41">
        <v>0</v>
      </c>
      <c r="Y24" s="41">
        <v>0</v>
      </c>
      <c r="Z24" s="41">
        <v>0</v>
      </c>
      <c r="AA24" s="41">
        <v>0</v>
      </c>
      <c r="AB24" s="3"/>
      <c r="AC24" s="1" t="s">
        <v>17</v>
      </c>
      <c r="AD24" s="1" t="s">
        <v>106</v>
      </c>
      <c r="AE24" s="11" t="str">
        <f>ROUND((3*MIN('[1]Puntos de control todos los dat'!F59,'[1]Puntos de control todos los dat'!F60)+MAX('[1]Puntos de control todos los dat'!F59,'[1]Puntos de control todos los dat'!F60))/4,3)&amp;" - "&amp;ROUND((MIN('[1]Puntos de control todos los dat'!F59,'[1]Puntos de control todos los dat'!F60)+3*MAX('[1]Puntos de control todos los dat'!F59,'[1]Puntos de control todos los dat'!F60))/4,3)</f>
        <v>536,275 - 658,825</v>
      </c>
      <c r="AF24" s="39">
        <v>1</v>
      </c>
      <c r="AG24" s="39">
        <v>0</v>
      </c>
      <c r="AH24" s="39">
        <v>0</v>
      </c>
      <c r="AI24" s="39">
        <v>0</v>
      </c>
      <c r="AJ24" s="39">
        <v>0</v>
      </c>
      <c r="AK24" s="9"/>
      <c r="AL24" s="1"/>
      <c r="AM24" s="1"/>
      <c r="AN24" s="3" t="s">
        <v>14</v>
      </c>
      <c r="AO24" s="1" t="s">
        <v>96</v>
      </c>
      <c r="AP24" s="21" t="s">
        <v>107</v>
      </c>
      <c r="AQ24" s="1"/>
      <c r="AR24" s="1" t="s">
        <v>96</v>
      </c>
      <c r="AS24" s="21" t="s">
        <v>107</v>
      </c>
      <c r="AT24" s="1"/>
      <c r="AU24" s="1" t="s">
        <v>96</v>
      </c>
      <c r="AV24" s="21" t="s">
        <v>107</v>
      </c>
      <c r="AW24" s="1"/>
      <c r="AX24" s="1"/>
      <c r="AY24" s="1"/>
    </row>
    <row r="25" spans="1:51" x14ac:dyDescent="0.25">
      <c r="A25" s="3" t="s">
        <v>25</v>
      </c>
      <c r="B25" s="1" t="s">
        <v>15</v>
      </c>
      <c r="C25" s="11" t="s">
        <v>108</v>
      </c>
      <c r="D25" s="11" t="str">
        <f>ROUND((MIN('[1]Puntos de control todos los dat'!F71,'[1]Puntos de control todos los dat'!F74,'[1]Puntos de control todos los dat'!F77)+MEDIAN('[1]Puntos de control todos los dat'!F71,'[1]Puntos de control todos los dat'!F74,'[1]Puntos de control todos los dat'!F77))/2,3)&amp;" - "&amp;ROUND((MEDIAN('[1]Puntos de control todos los dat'!F71,'[1]Puntos de control todos los dat'!F74,'[1]Puntos de control todos los dat'!F77)+MAX('[1]Puntos de control todos los dat'!F71,'[1]Puntos de control todos los dat'!F74,'[1]Puntos de control todos los dat'!F77))/2,3)</f>
        <v>586,55 - 685,75</v>
      </c>
      <c r="E25" s="41">
        <v>1.0175344522494503</v>
      </c>
      <c r="F25" s="40">
        <v>2.5077642892471216E-2</v>
      </c>
      <c r="G25" s="40">
        <v>1.7534452249450272</v>
      </c>
      <c r="H25" s="40">
        <v>10.899999999999977</v>
      </c>
      <c r="I25" s="40">
        <v>8.6910299003322092E-3</v>
      </c>
      <c r="J25" s="1"/>
      <c r="K25" s="1" t="s">
        <v>15</v>
      </c>
      <c r="L25" s="11" t="s">
        <v>109</v>
      </c>
      <c r="M25" s="11" t="str">
        <f>ROUND((MIN('[1]Puntos de control todos los dat'!F72,'[1]Puntos de control todos los dat'!F75,'[1]Puntos de control todos los dat'!F78)+MEDIAN('[1]Puntos de control todos los dat'!F72,'[1]Puntos de control todos los dat'!F75,'[1]Puntos de control todos los dat'!F78))/2,3)&amp;" - "&amp;ROUND((MEDIAN('[1]Puntos de control todos los dat'!F72,'[1]Puntos de control todos los dat'!F75,'[1]Puntos de control todos los dat'!F78)+MAX('[1]Puntos de control todos los dat'!F72,'[1]Puntos de control todos los dat'!F75,'[1]Puntos de control todos los dat'!F78))/2,3)</f>
        <v>622,25 - 646,4</v>
      </c>
      <c r="N25" s="41">
        <v>0.97016215117165649</v>
      </c>
      <c r="O25" s="41">
        <v>-4.3702197958297669E-2</v>
      </c>
      <c r="P25" s="41">
        <v>-2.9837848828343505</v>
      </c>
      <c r="Q25" s="41">
        <v>-19.56666666666672</v>
      </c>
      <c r="R25" s="41">
        <v>-1.5144869578678541E-2</v>
      </c>
      <c r="S25" s="9"/>
      <c r="T25" s="1" t="s">
        <v>15</v>
      </c>
      <c r="U25" s="11" t="s">
        <v>110</v>
      </c>
      <c r="V25" s="11" t="str">
        <f>ROUND((MIN('[1]Puntos de control todos los dat'!F73,'[1]Puntos de control todos los dat'!F76,'[1]Puntos de control todos los dat'!F79)+MEDIAN('[1]Puntos de control todos los dat'!F73,'[1]Puntos de control todos los dat'!F76,'[1]Puntos de control todos los dat'!F79))/2,3)&amp;" - "&amp;ROUND((MEDIAN('[1]Puntos de control todos los dat'!F73,'[1]Puntos de control todos los dat'!F76,'[1]Puntos de control todos los dat'!F79)+MAX('[1]Puntos de control todos los dat'!F73,'[1]Puntos de control todos los dat'!F76,'[1]Puntos de control todos los dat'!F79))/2,3)</f>
        <v>657,5 - 667,8</v>
      </c>
      <c r="W25" s="41">
        <v>0.99430341794923049</v>
      </c>
      <c r="X25" s="41">
        <v>-8.2419284374432196E-3</v>
      </c>
      <c r="Y25" s="41">
        <v>-0.56965820507695053</v>
      </c>
      <c r="Z25" s="41">
        <v>-3.7999999999999545</v>
      </c>
      <c r="AA25" s="41">
        <v>-2.8564269606614545E-3</v>
      </c>
      <c r="AB25" s="9"/>
      <c r="AC25" s="1" t="s">
        <v>17</v>
      </c>
      <c r="AD25" s="1" t="s">
        <v>111</v>
      </c>
      <c r="AE25" s="11" t="str">
        <f>ROUND((3*MIN('[1]Puntos de control todos los dat'!F61,'[1]Puntos de control todos los dat'!F62)+MAX('[1]Puntos de control todos los dat'!F61,'[1]Puntos de control todos los dat'!F62))/4,3)&amp;" - "&amp;ROUND((MIN('[1]Puntos de control todos los dat'!F61,'[1]Puntos de control todos los dat'!F62)+3*MAX('[1]Puntos de control todos los dat'!F61,'[1]Puntos de control todos los dat'!F62))/4,3)</f>
        <v>804,325 - 1043,775</v>
      </c>
      <c r="AF25" s="39">
        <v>1.5463977909798343</v>
      </c>
      <c r="AG25" s="39">
        <v>0.62891148178186229</v>
      </c>
      <c r="AH25" s="39">
        <v>54.639779097983435</v>
      </c>
      <c r="AI25" s="39">
        <v>326.5</v>
      </c>
      <c r="AJ25" s="39">
        <v>0.21457676130389067</v>
      </c>
      <c r="AK25" s="9"/>
      <c r="AL25" s="1"/>
      <c r="AM25" s="1"/>
      <c r="AN25" s="3" t="s">
        <v>25</v>
      </c>
      <c r="AO25" s="1" t="s">
        <v>53</v>
      </c>
      <c r="AP25" s="1" t="s">
        <v>30</v>
      </c>
      <c r="AQ25" s="1"/>
      <c r="AR25" s="1" t="s">
        <v>22</v>
      </c>
      <c r="AS25" s="1" t="s">
        <v>23</v>
      </c>
      <c r="AT25" s="1"/>
      <c r="AU25" s="1" t="s">
        <v>22</v>
      </c>
      <c r="AV25" s="1" t="s">
        <v>23</v>
      </c>
      <c r="AW25" s="1"/>
      <c r="AX25" s="1"/>
      <c r="AY25" s="1"/>
    </row>
    <row r="26" spans="1:51" x14ac:dyDescent="0.25">
      <c r="A26" s="3" t="s">
        <v>35</v>
      </c>
      <c r="B26" s="1" t="s">
        <v>15</v>
      </c>
      <c r="C26" s="11" t="s">
        <v>112</v>
      </c>
      <c r="D26" s="11" t="str">
        <f>ROUND((MIN('[1]Puntos de control todos los dat'!F2,'[1]Puntos de control todos los dat'!F5,'[1]Puntos de control todos los dat'!F8)+MEDIAN('[1]Puntos de control todos los dat'!F2,'[1]Puntos de control todos los dat'!F5,'[1]Puntos de control todos los dat'!F8))/2,3)&amp;" - "&amp;ROUND((MEDIAN('[1]Puntos de control todos los dat'!F2,'[1]Puntos de control todos los dat'!F5,'[1]Puntos de control todos los dat'!F8)+MAX('[1]Puntos de control todos los dat'!F2,'[1]Puntos de control todos los dat'!F5,'[1]Puntos de control todos los dat'!F8))/2,3)</f>
        <v>561,85 - 652,7</v>
      </c>
      <c r="E26" s="41">
        <v>0.95581532521851031</v>
      </c>
      <c r="F26" s="40">
        <v>-6.5196195434919613E-2</v>
      </c>
      <c r="G26" s="40">
        <v>-4.418467478148969</v>
      </c>
      <c r="H26" s="40">
        <v>-27.466666666666697</v>
      </c>
      <c r="I26" s="40">
        <v>-2.2591434994790837E-2</v>
      </c>
      <c r="J26" s="1"/>
      <c r="K26" s="1" t="s">
        <v>15</v>
      </c>
      <c r="L26" s="1" t="s">
        <v>113</v>
      </c>
      <c r="M26" s="11" t="str">
        <f>ROUND((MIN('[1]Puntos de control todos los dat'!F3,'[1]Puntos de control todos los dat'!F6,'[1]Puntos de control todos los dat'!F9)+MEDIAN('[1]Puntos de control todos los dat'!F3,'[1]Puntos de control todos los dat'!F6,'[1]Puntos de control todos los dat'!F9))/2,3)&amp;" - "&amp;ROUND((MEDIAN('[1]Puntos de control todos los dat'!F3,'[1]Puntos de control todos los dat'!F6,'[1]Puntos de control todos los dat'!F9)+MAX('[1]Puntos de control todos los dat'!F3,'[1]Puntos de control todos los dat'!F6,'[1]Puntos de control todos los dat'!F9))/2,3)</f>
        <v>636,4 - 665,2</v>
      </c>
      <c r="N26" s="41">
        <v>0.99710262796726479</v>
      </c>
      <c r="O26" s="41">
        <v>-4.1860915281855529E-3</v>
      </c>
      <c r="P26" s="41">
        <v>-0.28973720327352126</v>
      </c>
      <c r="Q26" s="41">
        <v>-1.8999999999999773</v>
      </c>
      <c r="R26" s="41">
        <v>-1.4507877522970634E-3</v>
      </c>
      <c r="S26" s="9"/>
      <c r="T26" s="1" t="s">
        <v>15</v>
      </c>
      <c r="U26" s="1" t="s">
        <v>114</v>
      </c>
      <c r="V26" s="11" t="str">
        <f>ROUND((MIN('[1]Puntos de control todos los dat'!F4,'[1]Puntos de control todos los dat'!F7,'[1]Puntos de control todos los dat'!F10)+MEDIAN('[1]Puntos de control todos los dat'!F4,'[1]Puntos de control todos los dat'!F7,'[1]Puntos de control todos los dat'!F10))/2,3)&amp;" - "&amp;ROUND((MEDIAN('[1]Puntos de control todos los dat'!F4,'[1]Puntos de control todos los dat'!F7,'[1]Puntos de control todos los dat'!F10)+MAX('[1]Puntos de control todos los dat'!F4,'[1]Puntos de control todos los dat'!F7,'[1]Puntos de control todos los dat'!F10))/2,3)</f>
        <v>644,5 - 660,6</v>
      </c>
      <c r="W26" s="41">
        <v>0.97871277233659815</v>
      </c>
      <c r="X26" s="41">
        <v>-3.1042567770345142E-2</v>
      </c>
      <c r="Y26" s="41">
        <v>-2.1287227663401853</v>
      </c>
      <c r="Z26" s="41">
        <v>-14.199999999999932</v>
      </c>
      <c r="AA26" s="41">
        <v>-1.0758119096924035E-2</v>
      </c>
      <c r="AB26" s="9"/>
      <c r="AC26" s="1" t="s">
        <v>17</v>
      </c>
      <c r="AD26" s="1" t="s">
        <v>115</v>
      </c>
      <c r="AE26" s="11" t="str">
        <f>ROUND((3*MIN('[1]Puntos de control todos los dat'!F63,'[1]Puntos de control todos los dat'!F64)+MAX('[1]Puntos de control todos los dat'!F63,'[1]Puntos de control todos los dat'!F64))/4,3)&amp;" - "&amp;ROUND((MIN('[1]Puntos de control todos los dat'!F63,'[1]Puntos de control todos los dat'!F64)+3*MAX('[1]Puntos de control todos los dat'!F63,'[1]Puntos de control todos los dat'!F64))/4,3)</f>
        <v>719,625 - 758,075</v>
      </c>
      <c r="AF26" s="39">
        <v>1.2364655677349174</v>
      </c>
      <c r="AG26" s="39">
        <v>0.30622206508188521</v>
      </c>
      <c r="AH26" s="39">
        <v>23.646556773491746</v>
      </c>
      <c r="AI26" s="39">
        <v>141.29999999999995</v>
      </c>
      <c r="AJ26" s="39">
        <v>0.10573181682131096</v>
      </c>
      <c r="AK26" s="9"/>
      <c r="AL26" s="1"/>
      <c r="AM26" s="1"/>
      <c r="AN26" s="10" t="s">
        <v>35</v>
      </c>
      <c r="AO26" s="22" t="s">
        <v>22</v>
      </c>
      <c r="AP26" s="22" t="s">
        <v>23</v>
      </c>
      <c r="AQ26" s="1"/>
      <c r="AR26" s="1" t="s">
        <v>22</v>
      </c>
      <c r="AS26" s="1" t="s">
        <v>23</v>
      </c>
      <c r="AT26" s="1"/>
      <c r="AU26" s="1" t="s">
        <v>22</v>
      </c>
      <c r="AV26" s="1" t="s">
        <v>23</v>
      </c>
      <c r="AW26" s="1"/>
      <c r="AX26" s="1"/>
      <c r="AY26" s="1"/>
    </row>
    <row r="27" spans="1:51" x14ac:dyDescent="0.25">
      <c r="A27" s="3" t="s">
        <v>42</v>
      </c>
      <c r="B27" s="1" t="s">
        <v>15</v>
      </c>
      <c r="C27" s="1" t="s">
        <v>116</v>
      </c>
      <c r="D27" s="9" t="str">
        <f>ROUND((MIN('[1]Puntos de control todos los dat'!F11,'[1]Puntos de control todos los dat'!F14,'[1]Puntos de control todos los dat'!F17)+MEDIAN('[1]Puntos de control todos los dat'!F11,'[1]Puntos de control todos los dat'!F14,'[1]Puntos de control todos los dat'!F17))/2,3)&amp;" - "&amp;ROUND((MEDIAN('[1]Puntos de control todos los dat'!F11,'[1]Puntos de control todos los dat'!F14,'[1]Puntos de control todos los dat'!F17)+MAX('[1]Puntos de control todos los dat'!F11,'[1]Puntos de control todos los dat'!F14,'[1]Puntos de control todos los dat'!F17))/2,3)</f>
        <v>633,1 - 714</v>
      </c>
      <c r="E27" s="39">
        <v>1.0894954153037697</v>
      </c>
      <c r="F27" s="40">
        <v>0.12366012547407476</v>
      </c>
      <c r="G27" s="40">
        <v>8.949541530376969</v>
      </c>
      <c r="H27" s="40">
        <v>55.633333333333326</v>
      </c>
      <c r="I27" s="40">
        <v>4.2831113506300193E-2</v>
      </c>
      <c r="J27" s="1"/>
      <c r="K27" s="1" t="s">
        <v>15</v>
      </c>
      <c r="L27" s="1" t="s">
        <v>117</v>
      </c>
      <c r="M27" s="9" t="str">
        <f>ROUND((MIN('[1]Puntos de control todos los dat'!F12,'[1]Puntos de control todos los dat'!F15,'[1]Puntos de control todos los dat'!F18)+MEDIAN('[1]Puntos de control todos los dat'!F12,'[1]Puntos de control todos los dat'!F15,'[1]Puntos de control todos los dat'!F18))/2,3)&amp;" - "&amp;ROUND((MEDIAN('[1]Puntos de control todos los dat'!F12,'[1]Puntos de control todos los dat'!F15,'[1]Puntos de control todos los dat'!F18)+MAX('[1]Puntos de control todos los dat'!F12,'[1]Puntos de control todos los dat'!F15,'[1]Puntos de control todos los dat'!F18))/2,3)</f>
        <v>636,35 - 663,75</v>
      </c>
      <c r="N27" s="39">
        <v>0.98597061963096644</v>
      </c>
      <c r="O27" s="39">
        <v>-2.0383437679945798E-2</v>
      </c>
      <c r="P27" s="39">
        <v>-1.4029380369033562</v>
      </c>
      <c r="Q27" s="39">
        <v>-9.1999999999999318</v>
      </c>
      <c r="R27" s="39">
        <v>-7.0642436652162254E-3</v>
      </c>
      <c r="S27" s="9"/>
      <c r="T27" s="1" t="s">
        <v>15</v>
      </c>
      <c r="U27" s="1" t="s">
        <v>118</v>
      </c>
      <c r="V27" s="9" t="str">
        <f>ROUND((MIN('[1]Puntos de control todos los dat'!F13,'[1]Puntos de control todos los dat'!F16,'[1]Puntos de control todos los dat'!F19)+MEDIAN('[1]Puntos de control todos los dat'!F13,'[1]Puntos de control todos los dat'!F16,'[1]Puntos de control todos los dat'!F19))/2,3)&amp;" - "&amp;ROUND((MEDIAN('[1]Puntos de control todos los dat'!F13,'[1]Puntos de control todos los dat'!F16,'[1]Puntos de control todos los dat'!F19)+MAX('[1]Puntos de control todos los dat'!F13,'[1]Puntos de control todos los dat'!F16,'[1]Puntos de control todos los dat'!F19))/2,3)</f>
        <v>659,55 - 685,85</v>
      </c>
      <c r="W27" s="39">
        <v>1.0043473915650611</v>
      </c>
      <c r="X27" s="39">
        <v>6.2583663027411017E-3</v>
      </c>
      <c r="Y27" s="39">
        <v>0.43473915650611428</v>
      </c>
      <c r="Z27" s="39">
        <v>2.9000000000000909</v>
      </c>
      <c r="AA27" s="39">
        <v>2.168981077509978E-3</v>
      </c>
      <c r="AB27" s="9"/>
      <c r="AC27" s="1" t="s">
        <v>63</v>
      </c>
      <c r="AD27" s="1" t="s">
        <v>63</v>
      </c>
      <c r="AE27" s="9" t="s">
        <v>63</v>
      </c>
      <c r="AF27" s="39" t="s">
        <v>731</v>
      </c>
      <c r="AG27" s="39" t="s">
        <v>731</v>
      </c>
      <c r="AH27" s="39" t="s">
        <v>731</v>
      </c>
      <c r="AI27" s="39" t="s">
        <v>731</v>
      </c>
      <c r="AJ27" s="39" t="s">
        <v>731</v>
      </c>
      <c r="AK27" s="9"/>
      <c r="AL27" s="1"/>
      <c r="AM27" s="1"/>
      <c r="AN27" s="3" t="s">
        <v>42</v>
      </c>
      <c r="AO27" s="1" t="s">
        <v>63</v>
      </c>
      <c r="AP27" s="1" t="s">
        <v>63</v>
      </c>
      <c r="AQ27" s="1"/>
      <c r="AR27" s="1" t="s">
        <v>63</v>
      </c>
      <c r="AS27" s="1" t="s">
        <v>63</v>
      </c>
      <c r="AT27" s="1"/>
      <c r="AU27" s="1" t="s">
        <v>63</v>
      </c>
      <c r="AV27" s="1" t="s">
        <v>63</v>
      </c>
      <c r="AW27" s="1"/>
      <c r="AX27" s="1"/>
      <c r="AY27" s="1"/>
    </row>
    <row r="28" spans="1:51" x14ac:dyDescent="0.25">
      <c r="A28" s="23" t="s">
        <v>48</v>
      </c>
      <c r="B28" s="24" t="s">
        <v>15</v>
      </c>
      <c r="C28" s="24" t="s">
        <v>119</v>
      </c>
      <c r="D28" s="25" t="str">
        <f>ROUND((MIN('[1]Puntos de control todos los dat'!F20,'[1]Puntos de control todos los dat'!F23,'[1]Puntos de control todos los dat'!F26)+MEDIAN('[1]Puntos de control todos los dat'!F20,'[1]Puntos de control todos los dat'!F23,'[1]Puntos de control todos los dat'!F26))/2,3)&amp;" - "&amp;ROUND((MEDIAN('[1]Puntos de control todos los dat'!F20,'[1]Puntos de control todos los dat'!F23,'[1]Puntos de control todos los dat'!F26)+MAX('[1]Puntos de control todos los dat'!F20,'[1]Puntos de control todos los dat'!F23,'[1]Puntos de control todos los dat'!F26))/2,3)</f>
        <v>678,2 - 697,05</v>
      </c>
      <c r="E28" s="42">
        <v>1.1045632473591078</v>
      </c>
      <c r="F28" s="43">
        <v>0.14347602986465888</v>
      </c>
      <c r="G28" s="43">
        <v>10.456324735910783</v>
      </c>
      <c r="H28" s="43">
        <v>65</v>
      </c>
      <c r="I28" s="43">
        <v>4.9684060334284554E-2</v>
      </c>
      <c r="J28" s="1"/>
      <c r="K28" s="1" t="s">
        <v>15</v>
      </c>
      <c r="L28" s="1" t="s">
        <v>120</v>
      </c>
      <c r="M28" s="25" t="str">
        <f>ROUND((MIN('[1]Puntos de control todos los dat'!F21,'[1]Puntos de control todos los dat'!F24,'[1]Puntos de control todos los dat'!F27)+MEDIAN('[1]Puntos de control todos los dat'!F21,'[1]Puntos de control todos los dat'!F24,'[1]Puntos de control todos los dat'!F27))/2,3)&amp;" - "&amp;ROUND((MEDIAN('[1]Puntos de control todos los dat'!F21,'[1]Puntos de control todos los dat'!F24,'[1]Puntos de control todos los dat'!F27)+MAX('[1]Puntos de control todos los dat'!F21,'[1]Puntos de control todos los dat'!F24,'[1]Puntos de control todos los dat'!F27))/2,3)</f>
        <v>629,5 - 680,05</v>
      </c>
      <c r="N28" s="42">
        <v>0.98698724139683836</v>
      </c>
      <c r="O28" s="42">
        <v>-1.8896659539508993E-2</v>
      </c>
      <c r="P28" s="42">
        <v>-1.3012758603161645</v>
      </c>
      <c r="Q28" s="42">
        <v>-8.533333333333303</v>
      </c>
      <c r="R28" s="42">
        <v>-6.5489895113839628E-3</v>
      </c>
      <c r="S28" s="9"/>
      <c r="T28" s="1" t="s">
        <v>15</v>
      </c>
      <c r="U28" s="1" t="s">
        <v>121</v>
      </c>
      <c r="V28" s="25" t="str">
        <f>ROUND((MIN('[1]Puntos de control todos los dat'!F22,'[1]Puntos de control todos los dat'!F25,'[1]Puntos de control todos los dat'!F28)+MEDIAN('[1]Puntos de control todos los dat'!F22,'[1]Puntos de control todos los dat'!F25,'[1]Puntos de control todos los dat'!F28))/2,3)&amp;" - "&amp;ROUND((MEDIAN('[1]Puntos de control todos los dat'!F22,'[1]Puntos de control todos los dat'!F25,'[1]Puntos de control todos los dat'!F28)+MAX('[1]Puntos de control todos los dat'!F22,'[1]Puntos de control todos los dat'!F25,'[1]Puntos de control todos los dat'!F28))/2,3)</f>
        <v>635,25 - 660,45</v>
      </c>
      <c r="W28" s="42">
        <v>0.9696681990805518</v>
      </c>
      <c r="X28" s="42">
        <v>-4.4436924319892067E-2</v>
      </c>
      <c r="Y28" s="42">
        <v>-3.0331800919448204</v>
      </c>
      <c r="Z28" s="42">
        <v>-20.233333333333235</v>
      </c>
      <c r="AA28" s="42">
        <v>-1.539944693913786E-2</v>
      </c>
      <c r="AB28" s="9"/>
      <c r="AC28" s="1" t="s">
        <v>72</v>
      </c>
      <c r="AD28" s="1" t="s">
        <v>122</v>
      </c>
      <c r="AE28" s="25" t="str">
        <f>ROUND('[1]Puntos de control todos los dat'!F67,3)&amp;" - "&amp;ROUND('[1]Puntos de control todos los dat'!F67,3)</f>
        <v>572,1 - 572,1</v>
      </c>
      <c r="AF28" s="39" t="s">
        <v>731</v>
      </c>
      <c r="AG28" s="39" t="s">
        <v>731</v>
      </c>
      <c r="AH28" s="39" t="s">
        <v>731</v>
      </c>
      <c r="AI28" s="39" t="s">
        <v>731</v>
      </c>
      <c r="AJ28" s="39" t="s">
        <v>731</v>
      </c>
      <c r="AK28" s="9"/>
      <c r="AL28" s="1"/>
      <c r="AM28" s="1"/>
      <c r="AN28" s="13" t="s">
        <v>48</v>
      </c>
      <c r="AO28" s="27" t="s">
        <v>123</v>
      </c>
      <c r="AP28" s="27" t="s">
        <v>40</v>
      </c>
      <c r="AQ28" s="1"/>
      <c r="AR28" s="1" t="s">
        <v>123</v>
      </c>
      <c r="AS28" s="1" t="s">
        <v>40</v>
      </c>
      <c r="AT28" s="1"/>
      <c r="AU28" s="1" t="s">
        <v>123</v>
      </c>
      <c r="AV28" s="1" t="s">
        <v>40</v>
      </c>
      <c r="AW28" s="1"/>
      <c r="AX28" s="1"/>
      <c r="AY28" s="1"/>
    </row>
    <row r="29" spans="1:51" x14ac:dyDescent="0.25">
      <c r="A29" s="3" t="s">
        <v>54</v>
      </c>
      <c r="B29" s="1" t="s">
        <v>15</v>
      </c>
      <c r="C29" s="1" t="s">
        <v>124</v>
      </c>
      <c r="D29" s="9" t="str">
        <f>ROUND((MIN('[1]Puntos de control todos los dat'!F29,'[1]Puntos de control todos los dat'!F32,'[1]Puntos de control todos los dat'!F35)+MEDIAN('[1]Puntos de control todos los dat'!F29,'[1]Puntos de control todos los dat'!F32,'[1]Puntos de control todos los dat'!F35))/2,3)&amp;" - "&amp;ROUND((MEDIAN('[1]Puntos de control todos los dat'!F29,'[1]Puntos de control todos los dat'!F32,'[1]Puntos de control todos los dat'!F35)+MAX('[1]Puntos de control todos los dat'!F29,'[1]Puntos de control todos los dat'!F32,'[1]Puntos de control todos los dat'!F35))/2,3)</f>
        <v>580,5 - 660,45</v>
      </c>
      <c r="E29" s="39">
        <v>1.0000536221781329</v>
      </c>
      <c r="F29" s="40">
        <v>7.7358376430175063E-5</v>
      </c>
      <c r="G29" s="40">
        <v>5.3622178132872733E-3</v>
      </c>
      <c r="H29" s="40">
        <v>3.3333333333303017E-2</v>
      </c>
      <c r="I29" s="40">
        <v>2.6810370251188787E-5</v>
      </c>
      <c r="J29" s="1"/>
      <c r="K29" s="1" t="s">
        <v>15</v>
      </c>
      <c r="L29" s="1" t="s">
        <v>125</v>
      </c>
      <c r="M29" s="9" t="str">
        <f>ROUND((MIN('[1]Puntos de control todos los dat'!F30,'[1]Puntos de control todos los dat'!F33,'[1]Puntos de control todos los dat'!F36)+MEDIAN('[1]Puntos de control todos los dat'!F30,'[1]Puntos de control todos los dat'!F33,'[1]Puntos de control todos los dat'!F36))/2,3)&amp;" - "&amp;ROUND((MEDIAN('[1]Puntos de control todos los dat'!F30,'[1]Puntos de control todos los dat'!F33,'[1]Puntos de control todos los dat'!F36)+MAX('[1]Puntos de control todos los dat'!F30,'[1]Puntos de control todos los dat'!F33,'[1]Puntos de control todos los dat'!F36))/2,3)</f>
        <v>636,9 - 649,35</v>
      </c>
      <c r="N29" s="39">
        <v>0.98225995018553347</v>
      </c>
      <c r="O29" s="39">
        <v>-2.582321778689018E-2</v>
      </c>
      <c r="P29" s="39">
        <v>-1.774004981446653</v>
      </c>
      <c r="Q29" s="39">
        <v>-11.633333333333326</v>
      </c>
      <c r="R29" s="39">
        <v>-8.9494063645921412E-3</v>
      </c>
      <c r="S29" s="9"/>
      <c r="T29" s="1" t="s">
        <v>15</v>
      </c>
      <c r="U29" s="1" t="s">
        <v>126</v>
      </c>
      <c r="V29" s="9" t="str">
        <f>ROUND((MIN('[1]Puntos de control todos los dat'!F31,'[1]Puntos de control todos los dat'!F34,'[1]Puntos de control todos los dat'!F37)+MEDIAN('[1]Puntos de control todos los dat'!F31,'[1]Puntos de control todos los dat'!F34,'[1]Puntos de control todos los dat'!F37))/2,3)&amp;" - "&amp;ROUND((MEDIAN('[1]Puntos de control todos los dat'!F31,'[1]Puntos de control todos los dat'!F34,'[1]Puntos de control todos los dat'!F37)+MAX('[1]Puntos de control todos los dat'!F31,'[1]Puntos de control todos los dat'!F34,'[1]Puntos de control todos los dat'!F37))/2,3)</f>
        <v>669,5 - 686,9</v>
      </c>
      <c r="W29" s="39">
        <v>1.015440735558665</v>
      </c>
      <c r="X29" s="39">
        <v>2.210604169156332E-2</v>
      </c>
      <c r="Y29" s="39">
        <v>1.5440735558664986</v>
      </c>
      <c r="Z29" s="39">
        <v>10.300000000000068</v>
      </c>
      <c r="AA29" s="39">
        <v>7.6612203406640229E-3</v>
      </c>
      <c r="AB29" s="9"/>
      <c r="AC29" s="1" t="s">
        <v>17</v>
      </c>
      <c r="AD29" s="1" t="s">
        <v>127</v>
      </c>
      <c r="AE29" s="9" t="str">
        <f>ROUND((3*MIN('[1]Puntos de control todos los dat'!F69,'[1]Puntos de control todos los dat'!F70)+MAX('[1]Puntos de control todos los dat'!F69,'[1]Puntos de control todos los dat'!F70))/4,3)&amp;" - "&amp;ROUND((MIN('[1]Puntos de control todos los dat'!F69,'[1]Puntos de control todos los dat'!F70)+3*MAX('[1]Puntos de control todos los dat'!F69,'[1]Puntos de control todos los dat'!F70))/4,3)</f>
        <v>710,65 - 729,15</v>
      </c>
      <c r="AF29" s="39">
        <v>1.2047527403564555</v>
      </c>
      <c r="AG29" s="39">
        <v>0.2687370826667565</v>
      </c>
      <c r="AH29" s="39">
        <v>20.475274035645551</v>
      </c>
      <c r="AI29" s="39">
        <v>122.35000000000002</v>
      </c>
      <c r="AJ29" s="39">
        <v>9.2868799574936461E-2</v>
      </c>
      <c r="AK29" s="9"/>
      <c r="AL29" s="1"/>
      <c r="AM29" s="1"/>
      <c r="AN29" s="3" t="s">
        <v>54</v>
      </c>
      <c r="AO29" s="1" t="s">
        <v>53</v>
      </c>
      <c r="AP29" s="1" t="s">
        <v>30</v>
      </c>
      <c r="AQ29" s="1"/>
      <c r="AR29" s="1" t="s">
        <v>22</v>
      </c>
      <c r="AS29" s="1" t="s">
        <v>23</v>
      </c>
      <c r="AT29" s="1"/>
      <c r="AU29" s="1" t="s">
        <v>22</v>
      </c>
      <c r="AV29" s="1" t="s">
        <v>23</v>
      </c>
      <c r="AW29" s="1"/>
      <c r="AX29" s="1"/>
      <c r="AY29" s="1"/>
    </row>
    <row r="30" spans="1:51" x14ac:dyDescent="0.25">
      <c r="A30" s="3" t="s">
        <v>59</v>
      </c>
      <c r="B30" s="1" t="s">
        <v>17</v>
      </c>
      <c r="C30" s="1" t="s">
        <v>128</v>
      </c>
      <c r="D30" s="9" t="str">
        <f>ROUND((3*MIN('[1]Puntos de control todos los dat'!F47,'[1]Puntos de control todos los dat'!F50)+MAX('[1]Puntos de control todos los dat'!F47,'[1]Puntos de control todos los dat'!F50))/4,3)&amp;" - "&amp;ROUND((MIN('[1]Puntos de control todos los dat'!F47,'[1]Puntos de control todos los dat'!F50)+3*MAX('[1]Puntos de control todos los dat'!F47,'[1]Puntos de control todos los dat'!F50))/4,3)</f>
        <v>695,225 - 747,275</v>
      </c>
      <c r="E30" s="39">
        <v>1.1602498793500993</v>
      </c>
      <c r="F30" s="40">
        <v>0.21443554748783114</v>
      </c>
      <c r="G30" s="40">
        <v>16.024987935009925</v>
      </c>
      <c r="H30" s="40">
        <v>99.616666666666674</v>
      </c>
      <c r="I30" s="40">
        <v>7.4181177317463681E-2</v>
      </c>
      <c r="J30" s="1"/>
      <c r="K30" s="1" t="s">
        <v>17</v>
      </c>
      <c r="L30" s="1" t="s">
        <v>129</v>
      </c>
      <c r="M30" s="9" t="str">
        <f>ROUND((3*MIN('[1]Puntos de control todos los dat'!F48,'[1]Puntos de control todos los dat'!F51)+MAX('[1]Puntos de control todos los dat'!F48,'[1]Puntos de control todos los dat'!F51))/4,3)&amp;" - "&amp;ROUND((MIN('[1]Puntos de control todos los dat'!F48,'[1]Puntos de control todos los dat'!F51)+3*MAX('[1]Puntos de control todos los dat'!F48,'[1]Puntos de control todos los dat'!F51))/4,3)</f>
        <v>629,3 - 667,9</v>
      </c>
      <c r="N30" s="39">
        <v>0.98907131601687603</v>
      </c>
      <c r="O30" s="39">
        <v>-1.5853546042004299E-2</v>
      </c>
      <c r="P30" s="39">
        <v>-1.0928683983123966</v>
      </c>
      <c r="Q30" s="39">
        <v>-7.1666666666666288</v>
      </c>
      <c r="R30" s="39">
        <v>-5.4943650813932396E-3</v>
      </c>
      <c r="S30" s="9"/>
      <c r="T30" s="1" t="s">
        <v>17</v>
      </c>
      <c r="U30" s="1" t="s">
        <v>130</v>
      </c>
      <c r="V30" s="9" t="str">
        <f>ROUND((3*MIN('[1]Puntos de control todos los dat'!F49,'[1]Puntos de control todos los dat'!F52)+MAX('[1]Puntos de control todos los dat'!F49,'[1]Puntos de control todos los dat'!F52))/4,3)&amp;" - "&amp;ROUND((MIN('[1]Puntos de control todos los dat'!F49,'[1]Puntos de control todos los dat'!F52)+3*MAX('[1]Puntos de control todos los dat'!F49,'[1]Puntos de control todos los dat'!F52))/4,3)</f>
        <v>693,4 - 711,2</v>
      </c>
      <c r="W30" s="39">
        <v>1.0528183090145913</v>
      </c>
      <c r="X30" s="39">
        <v>7.4256483561622441E-2</v>
      </c>
      <c r="Y30" s="39">
        <v>5.281830901459128</v>
      </c>
      <c r="Z30" s="39">
        <v>35.233333333333348</v>
      </c>
      <c r="AA30" s="39">
        <v>2.5729656045373788E-2</v>
      </c>
      <c r="AB30" s="9"/>
      <c r="AC30" s="1" t="s">
        <v>63</v>
      </c>
      <c r="AD30" s="1" t="s">
        <v>63</v>
      </c>
      <c r="AE30" s="9" t="s">
        <v>63</v>
      </c>
      <c r="AF30" s="39" t="s">
        <v>731</v>
      </c>
      <c r="AG30" s="39" t="s">
        <v>731</v>
      </c>
      <c r="AH30" s="39" t="s">
        <v>731</v>
      </c>
      <c r="AI30" s="39" t="s">
        <v>731</v>
      </c>
      <c r="AJ30" s="39" t="s">
        <v>731</v>
      </c>
      <c r="AK30" s="9"/>
      <c r="AL30" s="1"/>
      <c r="AM30" s="1"/>
      <c r="AN30" s="3" t="s">
        <v>59</v>
      </c>
      <c r="AO30" s="3" t="s">
        <v>63</v>
      </c>
      <c r="AP30" s="3" t="s">
        <v>63</v>
      </c>
      <c r="AQ30" s="1"/>
      <c r="AR30" s="3" t="s">
        <v>63</v>
      </c>
      <c r="AS30" s="3" t="s">
        <v>63</v>
      </c>
      <c r="AT30" s="1"/>
      <c r="AU30" s="3" t="s">
        <v>63</v>
      </c>
      <c r="AV30" s="3" t="s">
        <v>63</v>
      </c>
      <c r="AW30" s="1"/>
      <c r="AX30" s="1"/>
      <c r="AY30" s="1"/>
    </row>
    <row r="31" spans="1:51" x14ac:dyDescent="0.25">
      <c r="A31" s="3" t="s">
        <v>64</v>
      </c>
      <c r="B31" s="1" t="s">
        <v>17</v>
      </c>
      <c r="C31" s="1" t="s">
        <v>131</v>
      </c>
      <c r="D31" s="9" t="str">
        <f>ROUND((3*MIN('[1]Puntos de control todos los dat'!F53,'[1]Puntos de control todos los dat'!F56)+MAX('[1]Puntos de control todos los dat'!F53,'[1]Puntos de control todos los dat'!F56))/4,3)&amp;" - "&amp;ROUND((MIN('[1]Puntos de control todos los dat'!F53,'[1]Puntos de control todos los dat'!F56)+3*MAX('[1]Puntos de control todos los dat'!F53,'[1]Puntos de control todos los dat'!F56))/4,3)</f>
        <v>675,9 - 691,9</v>
      </c>
      <c r="E31" s="39">
        <v>1.1001662287522118</v>
      </c>
      <c r="F31" s="40">
        <v>0.1377215230936131</v>
      </c>
      <c r="G31" s="40">
        <v>10.016622875221181</v>
      </c>
      <c r="H31" s="40">
        <v>62.266666666666652</v>
      </c>
      <c r="I31" s="40">
        <v>4.7694428841341972E-2</v>
      </c>
      <c r="J31" s="1"/>
      <c r="K31" s="1" t="s">
        <v>17</v>
      </c>
      <c r="L31" s="1" t="s">
        <v>132</v>
      </c>
      <c r="M31" s="9" t="str">
        <f>ROUND((3*MIN('[1]Puntos de control todos los dat'!F54,'[1]Puntos de control todos los dat'!F57)+MAX('[1]Puntos de control todos los dat'!F54,'[1]Puntos de control todos los dat'!F57))/4,3)&amp;" - "&amp;ROUND((MIN('[1]Puntos de control todos los dat'!F54,'[1]Puntos de control todos los dat'!F57)+3*MAX('[1]Puntos de control todos los dat'!F54,'[1]Puntos de control todos los dat'!F57))/4,3)</f>
        <v>653,75 - 663,25</v>
      </c>
      <c r="N31" s="39">
        <v>1.0041681492400754</v>
      </c>
      <c r="O31" s="39">
        <v>6.000870646066009E-3</v>
      </c>
      <c r="P31" s="39">
        <v>0.41681492400753584</v>
      </c>
      <c r="Q31" s="39">
        <v>2.7333333333333485</v>
      </c>
      <c r="R31" s="39">
        <v>2.0797402860911144E-3</v>
      </c>
      <c r="S31" s="9"/>
      <c r="T31" s="1" t="s">
        <v>17</v>
      </c>
      <c r="U31" s="1" t="s">
        <v>133</v>
      </c>
      <c r="V31" s="9" t="str">
        <f>ROUND((3*MIN('[1]Puntos de control todos los dat'!F55,'[1]Puntos de control todos los dat'!F58)+MAX('[1]Puntos de control todos los dat'!F55,'[1]Puntos de control todos los dat'!F58))/4,3)&amp;" - "&amp;ROUND((MIN('[1]Puntos de control todos los dat'!F55,'[1]Puntos de control todos los dat'!F58)+3*MAX('[1]Puntos de control todos los dat'!F55,'[1]Puntos de control todos los dat'!F58))/4,3)</f>
        <v>749,775 - 922,725</v>
      </c>
      <c r="W31" s="39">
        <v>1.2536228263042175</v>
      </c>
      <c r="X31" s="39">
        <v>0.32610335414463909</v>
      </c>
      <c r="Y31" s="39">
        <v>25.362282630421753</v>
      </c>
      <c r="Z31" s="39">
        <v>169.18333333333339</v>
      </c>
      <c r="AA31" s="39">
        <v>0.1125400503331523</v>
      </c>
      <c r="AB31" s="9"/>
      <c r="AC31" s="1" t="s">
        <v>63</v>
      </c>
      <c r="AD31" s="1" t="s">
        <v>63</v>
      </c>
      <c r="AE31" s="9" t="s">
        <v>63</v>
      </c>
      <c r="AF31" s="39" t="s">
        <v>731</v>
      </c>
      <c r="AG31" s="39" t="s">
        <v>731</v>
      </c>
      <c r="AH31" s="39" t="s">
        <v>731</v>
      </c>
      <c r="AI31" s="39" t="s">
        <v>731</v>
      </c>
      <c r="AJ31" s="39" t="s">
        <v>731</v>
      </c>
      <c r="AK31" s="9"/>
      <c r="AL31" s="1"/>
      <c r="AM31" s="1"/>
      <c r="AN31" s="3" t="s">
        <v>64</v>
      </c>
      <c r="AO31" s="3" t="s">
        <v>63</v>
      </c>
      <c r="AP31" s="3" t="s">
        <v>63</v>
      </c>
      <c r="AQ31" s="1"/>
      <c r="AR31" s="3" t="s">
        <v>63</v>
      </c>
      <c r="AS31" s="3" t="s">
        <v>63</v>
      </c>
      <c r="AT31" s="1"/>
      <c r="AU31" s="3" t="s">
        <v>63</v>
      </c>
      <c r="AV31" s="3" t="s">
        <v>63</v>
      </c>
      <c r="AW31" s="1"/>
      <c r="AX31" s="1"/>
      <c r="AY31" s="1"/>
    </row>
    <row r="32" spans="1:51" x14ac:dyDescent="0.25">
      <c r="A32" s="20" t="s">
        <v>760</v>
      </c>
      <c r="B32" s="1"/>
      <c r="C32" s="1"/>
      <c r="D32" s="9"/>
      <c r="E32" s="9"/>
      <c r="F32" s="1"/>
      <c r="G32" s="1"/>
      <c r="H32" s="1"/>
      <c r="I32" s="1"/>
      <c r="J32" s="1"/>
      <c r="K32" s="1"/>
      <c r="L32" s="1"/>
      <c r="M32" s="9"/>
      <c r="N32" s="9"/>
      <c r="O32" s="9"/>
      <c r="S32" s="9"/>
      <c r="T32" s="1"/>
      <c r="U32" s="1"/>
      <c r="V32" s="9"/>
      <c r="W32" s="9"/>
      <c r="X32" s="9"/>
      <c r="AB32" s="9"/>
      <c r="AC32" s="1"/>
      <c r="AD32" s="1"/>
      <c r="AE32" s="9"/>
      <c r="AF32" s="9"/>
      <c r="AG32" s="9"/>
      <c r="AK32" s="9"/>
      <c r="AL32" s="1"/>
      <c r="AM32" s="1"/>
      <c r="AN32" s="1" t="s">
        <v>760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3" t="s">
        <v>14</v>
      </c>
      <c r="B33" s="1" t="s">
        <v>17</v>
      </c>
      <c r="C33" s="11" t="s">
        <v>134</v>
      </c>
      <c r="D33" s="11" t="str">
        <f>ROUND((3*MIN('[1]Puntos de control todos los dat'!G41,'[1]Puntos de control todos los dat'!G44)+MAX('[1]Puntos de control todos los dat'!G41,'[1]Puntos de control todos los dat'!G44))/4,3)&amp;" - "&amp;ROUND((MIN('[1]Puntos de control todos los dat'!G41,'[1]Puntos de control todos los dat'!G44)+3*MAX('[1]Puntos de control todos los dat'!G41,'[1]Puntos de control todos los dat'!G44))/4,3)</f>
        <v>869,168 - 935,103</v>
      </c>
      <c r="E33" s="41">
        <v>1</v>
      </c>
      <c r="F33" s="38">
        <v>0</v>
      </c>
      <c r="G33" s="38">
        <v>0</v>
      </c>
      <c r="H33" s="38">
        <v>0</v>
      </c>
      <c r="I33" s="38">
        <v>0</v>
      </c>
      <c r="J33" s="3"/>
      <c r="K33" s="3" t="s">
        <v>17</v>
      </c>
      <c r="L33" s="11" t="s">
        <v>135</v>
      </c>
      <c r="M33" s="11" t="str">
        <f>ROUND((3*MIN('[1]Puntos de control todos los dat'!G39,'[1]Puntos de control todos los dat'!G42)+MAX('[1]Puntos de control todos los dat'!G39,'[1]Puntos de control todos los dat'!G42))/4,3)&amp;" - "&amp;ROUND((MIN('[1]Puntos de control todos los dat'!G39,'[1]Puntos de control todos los dat'!G42)+3*MAX('[1]Puntos de control todos los dat'!G39,'[1]Puntos de control todos los dat'!G42))/4,3)</f>
        <v>910,795 - 951,445</v>
      </c>
      <c r="N33" s="41">
        <v>1</v>
      </c>
      <c r="O33" s="41">
        <v>0</v>
      </c>
      <c r="P33" s="41">
        <v>0</v>
      </c>
      <c r="Q33" s="41">
        <v>0</v>
      </c>
      <c r="R33" s="41">
        <v>0</v>
      </c>
      <c r="S33" s="3"/>
      <c r="T33" s="3" t="s">
        <v>15</v>
      </c>
      <c r="U33" s="3" t="s">
        <v>136</v>
      </c>
      <c r="V33" s="11" t="str">
        <f>ROUND((MIN('[1]Puntos de control todos los dat'!G40,'[1]Puntos de control todos los dat'!G43,'[1]Puntos de control todos los dat'!G46)+MEDIAN('[1]Puntos de control todos los dat'!G40,'[1]Puntos de control todos los dat'!G43,'[1]Puntos de control todos los dat'!G46))/2,3)&amp;" - "&amp;ROUND((MEDIAN('[1]Puntos de control todos los dat'!G40,'[1]Puntos de control todos los dat'!G43,'[1]Puntos de control todos los dat'!G46)+MAX('[1]Puntos de control todos los dat'!G40,'[1]Puntos de control todos los dat'!G43,'[1]Puntos de control todos los dat'!G46))/2,3)</f>
        <v>829,29 - 863,98</v>
      </c>
      <c r="W33" s="41">
        <v>1</v>
      </c>
      <c r="X33" s="41">
        <v>0</v>
      </c>
      <c r="Y33" s="41">
        <v>0</v>
      </c>
      <c r="Z33" s="41">
        <v>0</v>
      </c>
      <c r="AA33" s="41">
        <v>0</v>
      </c>
      <c r="AB33" s="3"/>
      <c r="AC33" s="1" t="s">
        <v>17</v>
      </c>
      <c r="AD33" s="1" t="s">
        <v>137</v>
      </c>
      <c r="AE33" s="11" t="str">
        <f>ROUND((3*MIN('[1]Puntos de control todos los dat'!G59,'[1]Puntos de control todos los dat'!G60)+MAX('[1]Puntos de control todos los dat'!G59,'[1]Puntos de control todos los dat'!G60))/4,3)&amp;" - "&amp;ROUND((MIN('[1]Puntos de control todos los dat'!G59,'[1]Puntos de control todos los dat'!G60)+3*MAX('[1]Puntos de control todos los dat'!G59,'[1]Puntos de control todos los dat'!G60))/4,3)</f>
        <v>1890,73 - 2292,73</v>
      </c>
      <c r="AF33" s="39">
        <v>1</v>
      </c>
      <c r="AG33" s="39">
        <v>0</v>
      </c>
      <c r="AH33" s="39">
        <v>0</v>
      </c>
      <c r="AI33" s="39">
        <v>0</v>
      </c>
      <c r="AJ33" s="39">
        <v>0</v>
      </c>
      <c r="AK33" s="9"/>
      <c r="AL33" s="1"/>
      <c r="AM33" s="1"/>
      <c r="AN33" s="3" t="s">
        <v>14</v>
      </c>
      <c r="AO33" s="3" t="s">
        <v>24</v>
      </c>
      <c r="AP33" s="3" t="s">
        <v>23</v>
      </c>
      <c r="AQ33" s="3"/>
      <c r="AR33" s="11" t="s">
        <v>24</v>
      </c>
      <c r="AS33" s="3" t="s">
        <v>23</v>
      </c>
      <c r="AT33" s="3"/>
      <c r="AU33" s="3" t="s">
        <v>22</v>
      </c>
      <c r="AV33" s="3" t="s">
        <v>23</v>
      </c>
      <c r="AW33" s="1"/>
      <c r="AX33" s="1"/>
      <c r="AY33" s="1"/>
    </row>
    <row r="34" spans="1:51" x14ac:dyDescent="0.25">
      <c r="A34" s="3" t="s">
        <v>25</v>
      </c>
      <c r="B34" s="1" t="s">
        <v>72</v>
      </c>
      <c r="C34" s="3" t="s">
        <v>138</v>
      </c>
      <c r="D34" s="3" t="str">
        <f>ROUND('[1]Puntos de control todos los dat'!G74,3)&amp;" - "&amp;ROUND('[1]Puntos de control todos los dat'!G74,3)</f>
        <v>766,86 - 766,86</v>
      </c>
      <c r="E34" s="38" t="s">
        <v>731</v>
      </c>
      <c r="F34" s="38" t="s">
        <v>731</v>
      </c>
      <c r="G34" s="38" t="s">
        <v>731</v>
      </c>
      <c r="H34" s="38" t="s">
        <v>731</v>
      </c>
      <c r="I34" s="38" t="s">
        <v>731</v>
      </c>
      <c r="J34" s="3"/>
      <c r="K34" s="3" t="s">
        <v>17</v>
      </c>
      <c r="L34" s="3" t="s">
        <v>139</v>
      </c>
      <c r="M34" s="3" t="str">
        <f>ROUND((3*MIN('[1]Puntos de control todos los dat'!G75,'[1]Puntos de control todos los dat'!G78)+MAX('[1]Puntos de control todos los dat'!G75,'[1]Puntos de control todos los dat'!G78))/4,3)&amp;" - "&amp;ROUND((MIN('[1]Puntos de control todos los dat'!G75,'[1]Puntos de control todos los dat'!G78)+3*MAX('[1]Puntos de control todos los dat'!G75,'[1]Puntos de control todos los dat'!G78))/4,3)</f>
        <v>806,07 - 810,31</v>
      </c>
      <c r="N34" s="38">
        <v>0.86797620070452797</v>
      </c>
      <c r="O34" s="38">
        <v>-0.20427260935617031</v>
      </c>
      <c r="P34" s="38">
        <v>-13.202379929547202</v>
      </c>
      <c r="Q34" s="38">
        <v>-122.92999999999995</v>
      </c>
      <c r="R34" s="38">
        <v>-7.0677452553023878E-2</v>
      </c>
      <c r="S34" s="3"/>
      <c r="T34" s="3" t="s">
        <v>17</v>
      </c>
      <c r="U34" s="3" t="s">
        <v>140</v>
      </c>
      <c r="V34" s="3" t="str">
        <f>ROUND((3*MIN('[1]Puntos de control todos los dat'!G73,'[1]Puntos de control todos los dat'!G79)+MAX('[1]Puntos de control todos los dat'!G73,'[1]Puntos de control todos los dat'!G79))/4,3)&amp;" - "&amp;ROUND((MIN('[1]Puntos de control todos los dat'!G73,'[1]Puntos de control todos los dat'!G79)+3*MAX('[1]Puntos de control todos los dat'!G73,'[1]Puntos de control todos los dat'!G79))/4,3)</f>
        <v>793,918 - 866,373</v>
      </c>
      <c r="W34" s="38">
        <v>0.98351420515129251</v>
      </c>
      <c r="X34" s="38">
        <v>-2.3982205013626853E-2</v>
      </c>
      <c r="Y34" s="38">
        <v>-1.6485794848707491</v>
      </c>
      <c r="Z34" s="38">
        <v>-13.915000000000077</v>
      </c>
      <c r="AA34" s="38">
        <v>-8.3114075038600872E-3</v>
      </c>
      <c r="AB34" s="3"/>
      <c r="AC34" s="1" t="s">
        <v>72</v>
      </c>
      <c r="AD34" s="1" t="s">
        <v>141</v>
      </c>
      <c r="AE34" s="3" t="str">
        <f>ROUND('[1]Puntos de control todos los dat'!G62,3)&amp;" - "&amp;ROUND('[1]Puntos de control todos los dat'!G62,3)</f>
        <v>2013,75 - 2013,75</v>
      </c>
      <c r="AF34" s="39" t="s">
        <v>731</v>
      </c>
      <c r="AG34" s="39" t="s">
        <v>731</v>
      </c>
      <c r="AH34" s="39" t="s">
        <v>731</v>
      </c>
      <c r="AI34" s="39" t="s">
        <v>731</v>
      </c>
      <c r="AJ34" s="39" t="s">
        <v>731</v>
      </c>
      <c r="AK34" s="9"/>
      <c r="AL34" s="1"/>
      <c r="AM34" s="1"/>
      <c r="AN34" s="10" t="s">
        <v>25</v>
      </c>
      <c r="AO34" s="10" t="s">
        <v>72</v>
      </c>
      <c r="AP34" s="10" t="s">
        <v>23</v>
      </c>
      <c r="AQ34" s="3"/>
      <c r="AR34" s="3" t="s">
        <v>22</v>
      </c>
      <c r="AS34" s="3" t="s">
        <v>23</v>
      </c>
      <c r="AT34" s="3"/>
      <c r="AU34" s="3" t="s">
        <v>22</v>
      </c>
      <c r="AV34" s="3" t="s">
        <v>23</v>
      </c>
      <c r="AW34" s="1"/>
      <c r="AX34" s="1"/>
      <c r="AY34" s="1"/>
    </row>
    <row r="35" spans="1:51" x14ac:dyDescent="0.25">
      <c r="A35" s="23" t="s">
        <v>35</v>
      </c>
      <c r="B35" s="1" t="s">
        <v>17</v>
      </c>
      <c r="C35" s="3" t="s">
        <v>142</v>
      </c>
      <c r="D35" s="3" t="str">
        <f>ROUND((3*MIN('[1]Puntos de control todos los dat'!G2,'[1]Puntos de control todos los dat'!G5)+MAX('[1]Puntos de control todos los dat'!G2,'[1]Puntos de control todos los dat'!G5))/4,3)&amp;" - "&amp;ROUND((MIN('[1]Puntos de control todos los dat'!G2,'[1]Puntos de control todos los dat'!G5)+3*MAX('[1]Puntos de control todos los dat'!G2,'[1]Puntos de control todos los dat'!G5))/4,3)</f>
        <v>771,208 - 803,983</v>
      </c>
      <c r="E35" s="38">
        <v>0.87303452365776746</v>
      </c>
      <c r="F35" s="38">
        <v>-0.19588938934301992</v>
      </c>
      <c r="G35" s="38">
        <v>-12.696547634223254</v>
      </c>
      <c r="H35" s="38">
        <v>-114.53999999999996</v>
      </c>
      <c r="I35" s="38">
        <v>-6.7785977641398307E-2</v>
      </c>
      <c r="J35" s="3"/>
      <c r="K35" s="3" t="s">
        <v>15</v>
      </c>
      <c r="L35" s="3" t="s">
        <v>143</v>
      </c>
      <c r="M35" s="3" t="str">
        <f>ROUND((MIN('[1]Puntos de control todos los dat'!G3,'[1]Puntos de control todos los dat'!G6,'[1]Puntos de control todos los dat'!G9)+MEDIAN('[1]Puntos de control todos los dat'!G3,'[1]Puntos de control todos los dat'!G6,'[1]Puntos de control todos los dat'!G9))/2,3)&amp;" - "&amp;ROUND((MEDIAN('[1]Puntos de control todos los dat'!G3,'[1]Puntos de control todos los dat'!G6,'[1]Puntos de control todos los dat'!G9)+MAX('[1]Puntos de control todos los dat'!G3,'[1]Puntos de control todos los dat'!G6,'[1]Puntos de control todos los dat'!G9))/2,3)</f>
        <v>648,475 - 666,875</v>
      </c>
      <c r="N35" s="38">
        <v>0.70826889480768684</v>
      </c>
      <c r="O35" s="38">
        <v>-0.49763091034648216</v>
      </c>
      <c r="P35" s="38">
        <v>-29.173110519231315</v>
      </c>
      <c r="Q35" s="38">
        <v>-271.63666666666666</v>
      </c>
      <c r="R35" s="38">
        <v>-0.17077586911465459</v>
      </c>
      <c r="S35" s="3"/>
      <c r="T35" s="23" t="s">
        <v>15</v>
      </c>
      <c r="U35" s="23" t="s">
        <v>144</v>
      </c>
      <c r="V35" s="3" t="str">
        <f>ROUND((MIN('[1]Puntos de control todos los dat'!G4,'[1]Puntos de control todos los dat'!G7,'[1]Puntos de control todos los dat'!G10)+MEDIAN('[1]Puntos de control todos los dat'!G4,'[1]Puntos de control todos los dat'!G7,'[1]Puntos de control todos los dat'!G10))/2,3)&amp;" - "&amp;ROUND((MEDIAN('[1]Puntos de control todos los dat'!G4,'[1]Puntos de control todos los dat'!G7,'[1]Puntos de control todos los dat'!G10)+MAX('[1]Puntos de control todos los dat'!G4,'[1]Puntos de control todos los dat'!G7,'[1]Puntos de control todos los dat'!G10))/2,3)</f>
        <v>770,325 - 780,33</v>
      </c>
      <c r="W35" s="38">
        <v>0.91772306866020581</v>
      </c>
      <c r="X35" s="38">
        <v>-0.12386922201632021</v>
      </c>
      <c r="Y35" s="38">
        <v>-8.2276931339794181</v>
      </c>
      <c r="Z35" s="38">
        <v>-69.446666666666715</v>
      </c>
      <c r="AA35" s="38">
        <v>-4.2903447679375317E-2</v>
      </c>
      <c r="AB35" s="28"/>
      <c r="AC35" s="1" t="s">
        <v>63</v>
      </c>
      <c r="AD35" s="29" t="s">
        <v>63</v>
      </c>
      <c r="AE35" s="3" t="s">
        <v>63</v>
      </c>
      <c r="AF35" s="39" t="s">
        <v>731</v>
      </c>
      <c r="AG35" s="39" t="s">
        <v>731</v>
      </c>
      <c r="AH35" s="39" t="s">
        <v>731</v>
      </c>
      <c r="AI35" s="39" t="s">
        <v>731</v>
      </c>
      <c r="AJ35" s="39" t="s">
        <v>731</v>
      </c>
      <c r="AK35" s="9"/>
      <c r="AL35" s="1"/>
      <c r="AM35" s="1"/>
      <c r="AN35" s="3" t="s">
        <v>35</v>
      </c>
      <c r="AO35" s="3" t="s">
        <v>63</v>
      </c>
      <c r="AP35" s="3" t="s">
        <v>63</v>
      </c>
      <c r="AQ35" s="3"/>
      <c r="AR35" s="3" t="s">
        <v>63</v>
      </c>
      <c r="AS35" s="3" t="s">
        <v>63</v>
      </c>
      <c r="AT35" s="3"/>
      <c r="AU35" s="3" t="s">
        <v>63</v>
      </c>
      <c r="AV35" s="3" t="s">
        <v>63</v>
      </c>
      <c r="AW35" s="1"/>
      <c r="AX35" s="1"/>
      <c r="AY35" s="1"/>
    </row>
    <row r="36" spans="1:51" x14ac:dyDescent="0.25">
      <c r="A36" s="3" t="s">
        <v>42</v>
      </c>
      <c r="B36" s="1" t="s">
        <v>17</v>
      </c>
      <c r="C36" s="3" t="s">
        <v>145</v>
      </c>
      <c r="D36" s="3" t="str">
        <f>ROUND((3*MIN('[1]Puntos de control todos los dat'!G11,'[1]Puntos de control todos los dat'!G17)+MAX('[1]Puntos de control todos los dat'!G11,'[1]Puntos de control todos los dat'!G17))/4,3)&amp;" - "&amp;ROUND((MIN('[1]Puntos de control todos los dat'!G11,'[1]Puntos de control todos los dat'!G17)+3*MAX('[1]Puntos de control todos los dat'!G11,'[1]Puntos de control todos los dat'!G17))/4,3)</f>
        <v>761,2 - 847,48</v>
      </c>
      <c r="E36" s="38">
        <v>0.89159604715480489</v>
      </c>
      <c r="F36" s="38">
        <v>-0.16553787438974385</v>
      </c>
      <c r="G36" s="38">
        <v>-10.840395284519511</v>
      </c>
      <c r="H36" s="38">
        <v>-97.795000000000073</v>
      </c>
      <c r="I36" s="38">
        <v>-5.7308193791294967E-2</v>
      </c>
      <c r="J36" s="3"/>
      <c r="K36" s="3" t="s">
        <v>15</v>
      </c>
      <c r="L36" s="3" t="s">
        <v>146</v>
      </c>
      <c r="M36" s="3" t="str">
        <f>ROUND((MIN('[1]Puntos de control todos los dat'!G12,'[1]Puntos de control todos los dat'!G15,'[1]Puntos de control todos los dat'!G18)+MEDIAN('[1]Puntos de control todos los dat'!G12,'[1]Puntos de control todos los dat'!G15,'[1]Puntos de control todos los dat'!G18))/2,3)&amp;" - "&amp;ROUND((MEDIAN('[1]Puntos de control todos los dat'!G12,'[1]Puntos de control todos los dat'!G15,'[1]Puntos de control todos los dat'!G18)+MAX('[1]Puntos de control todos los dat'!G12,'[1]Puntos de control todos los dat'!G15,'[1]Puntos de control todos los dat'!G18))/2,3)</f>
        <v>656,065 - 695,905</v>
      </c>
      <c r="N36" s="38">
        <v>0.72159692986224477</v>
      </c>
      <c r="O36" s="38">
        <v>-0.47073489443422473</v>
      </c>
      <c r="P36" s="38">
        <v>-27.840307013775522</v>
      </c>
      <c r="Q36" s="38">
        <v>-259.22666666666669</v>
      </c>
      <c r="R36" s="38">
        <v>-0.16171210886164392</v>
      </c>
      <c r="S36" s="3"/>
      <c r="T36" s="3" t="s">
        <v>17</v>
      </c>
      <c r="U36" s="3" t="s">
        <v>147</v>
      </c>
      <c r="V36" s="3" t="str">
        <f>ROUND((3*MIN('[1]Puntos de control todos los dat'!G16,'[1]Puntos de control todos los dat'!G19)+MAX('[1]Puntos de control todos los dat'!G16,'[1]Puntos de control todos los dat'!G19))/4,3)&amp;" - "&amp;ROUND((MIN('[1]Puntos de control todos los dat'!G16,'[1]Puntos de control todos los dat'!G19)+3*MAX('[1]Puntos de control todos los dat'!G16,'[1]Puntos de control todos los dat'!G19))/4,3)</f>
        <v>786,458 - 798,393</v>
      </c>
      <c r="W36" s="38">
        <v>0.93882543894983761</v>
      </c>
      <c r="X36" s="38">
        <v>-9.1071160408532206E-2</v>
      </c>
      <c r="Y36" s="38">
        <v>-6.117456105016239</v>
      </c>
      <c r="Z36" s="38">
        <v>-51.635000000000105</v>
      </c>
      <c r="AA36" s="38">
        <v>-3.155238208721748E-2</v>
      </c>
      <c r="AB36" s="3"/>
      <c r="AC36" s="1" t="s">
        <v>72</v>
      </c>
      <c r="AD36" s="1" t="s">
        <v>148</v>
      </c>
      <c r="AE36" s="3" t="str">
        <f>ROUND('[1]Puntos de control todos los dat'!G66,3)&amp;" - "&amp;ROUND('[1]Puntos de control todos los dat'!G66,3)</f>
        <v>2164,47 - 2164,47</v>
      </c>
      <c r="AF36" s="39" t="s">
        <v>731</v>
      </c>
      <c r="AG36" s="39" t="s">
        <v>731</v>
      </c>
      <c r="AH36" s="39" t="s">
        <v>731</v>
      </c>
      <c r="AI36" s="39" t="s">
        <v>731</v>
      </c>
      <c r="AJ36" s="39" t="s">
        <v>731</v>
      </c>
      <c r="AK36" s="9"/>
      <c r="AL36" s="1"/>
      <c r="AM36" s="1"/>
      <c r="AN36" s="3" t="s">
        <v>42</v>
      </c>
      <c r="AO36" s="3" t="s">
        <v>22</v>
      </c>
      <c r="AP36" s="3" t="s">
        <v>23</v>
      </c>
      <c r="AQ36" s="3"/>
      <c r="AR36" s="3" t="s">
        <v>74</v>
      </c>
      <c r="AS36" s="3" t="s">
        <v>40</v>
      </c>
      <c r="AT36" s="3"/>
      <c r="AU36" s="3" t="s">
        <v>22</v>
      </c>
      <c r="AV36" s="3" t="s">
        <v>23</v>
      </c>
      <c r="AW36" s="1"/>
      <c r="AX36" s="1"/>
      <c r="AY36" s="1"/>
    </row>
    <row r="37" spans="1:51" x14ac:dyDescent="0.25">
      <c r="A37" s="23" t="s">
        <v>48</v>
      </c>
      <c r="B37" s="1" t="s">
        <v>17</v>
      </c>
      <c r="C37" s="3" t="s">
        <v>149</v>
      </c>
      <c r="D37" s="3" t="str">
        <f>ROUND((3*MIN('[1]Puntos de control todos los dat'!G20,'[1]Puntos de control todos los dat'!G26)+MAX('[1]Puntos de control todos los dat'!G20,'[1]Puntos de control todos los dat'!G26))/4,3)&amp;" - "&amp;ROUND((MIN('[1]Puntos de control todos los dat'!G20,'[1]Puntos de control todos los dat'!G26)+3*MAX('[1]Puntos de control todos los dat'!G20,'[1]Puntos de control todos los dat'!G26))/4,3)</f>
        <v>740,998 - 767,413</v>
      </c>
      <c r="E37" s="38">
        <v>0.83602232481834748</v>
      </c>
      <c r="F37" s="38">
        <v>-0.25838662689378672</v>
      </c>
      <c r="G37" s="38">
        <v>-16.397767518165253</v>
      </c>
      <c r="H37" s="38">
        <v>-147.93000000000006</v>
      </c>
      <c r="I37" s="38">
        <v>-8.9311373268773364E-2</v>
      </c>
      <c r="J37" s="3"/>
      <c r="K37" s="3" t="s">
        <v>17</v>
      </c>
      <c r="L37" s="3" t="s">
        <v>150</v>
      </c>
      <c r="M37" s="3" t="str">
        <f>ROUND((3*MIN('[1]Puntos de control todos los dat'!G21,'[1]Puntos de control todos los dat'!G27)+MAX('[1]Puntos de control todos los dat'!G21,'[1]Puntos de control todos los dat'!G27))/4,3)&amp;" - "&amp;ROUND((MIN('[1]Puntos de control todos los dat'!G21,'[1]Puntos de control todos los dat'!G27)+3*MAX('[1]Puntos de control todos los dat'!G21,'[1]Puntos de control todos los dat'!G27))/4,3)</f>
        <v>748,358 - 778,393</v>
      </c>
      <c r="N37" s="38">
        <v>0.81984599192370478</v>
      </c>
      <c r="O37" s="38">
        <v>-0.28657516998042992</v>
      </c>
      <c r="P37" s="38">
        <v>-18.015400807629522</v>
      </c>
      <c r="Q37" s="38">
        <v>-167.745</v>
      </c>
      <c r="R37" s="38">
        <v>-9.8994095586000558E-2</v>
      </c>
      <c r="S37" s="3"/>
      <c r="T37" s="23" t="s">
        <v>15</v>
      </c>
      <c r="U37" s="23" t="s">
        <v>151</v>
      </c>
      <c r="V37" s="3" t="str">
        <f>ROUND((MIN('[1]Puntos de control todos los dat'!G22,'[1]Puntos de control todos los dat'!G25,'[1]Puntos de control todos los dat'!G28)+MEDIAN('[1]Puntos de control todos los dat'!G22,'[1]Puntos de control todos los dat'!G25,'[1]Puntos de control todos los dat'!G28))/2,3)&amp;" - "&amp;ROUND((MEDIAN('[1]Puntos de control todos los dat'!G22,'[1]Puntos de control todos los dat'!G25,'[1]Puntos de control todos los dat'!G28)+MAX('[1]Puntos de control todos los dat'!G22,'[1]Puntos de control todos los dat'!G25,'[1]Puntos de control todos los dat'!G28))/2,3)</f>
        <v>729,795 - 772,05</v>
      </c>
      <c r="W37" s="38">
        <v>0.8836852040534241</v>
      </c>
      <c r="X37" s="38">
        <v>-0.17839556625860581</v>
      </c>
      <c r="Y37" s="38">
        <v>-11.63147959465759</v>
      </c>
      <c r="Z37" s="38">
        <v>-98.176666666666847</v>
      </c>
      <c r="AA37" s="38">
        <v>-6.1748531918328443E-2</v>
      </c>
      <c r="AB37" s="28"/>
      <c r="AC37" s="1" t="s">
        <v>17</v>
      </c>
      <c r="AD37" s="1" t="s">
        <v>152</v>
      </c>
      <c r="AE37" s="3" t="str">
        <f>ROUND((3*MIN('[1]Puntos de control todos los dat'!G67,'[1]Puntos de control todos los dat'!G68)+MAX('[1]Puntos de control todos los dat'!G67,'[1]Puntos de control todos los dat'!G68))/4,3)&amp;" - "&amp;ROUND((MIN('[1]Puntos de control todos los dat'!G67,'[1]Puntos de control todos los dat'!G68)+3*MAX('[1]Puntos de control todos los dat'!G67,'[1]Puntos de control todos los dat'!G68))/4,3)</f>
        <v>2597,603 - 2821,008</v>
      </c>
      <c r="AF37" s="39">
        <v>1.2952460403589374</v>
      </c>
      <c r="AG37" s="39">
        <v>0.37322617319366297</v>
      </c>
      <c r="AH37" s="39">
        <v>29.524604035893741</v>
      </c>
      <c r="AI37" s="39">
        <v>617.57500000000027</v>
      </c>
      <c r="AJ37" s="39">
        <v>0.12863372168709461</v>
      </c>
      <c r="AK37" s="9"/>
      <c r="AL37" s="1"/>
      <c r="AM37" s="1"/>
      <c r="AN37" s="3" t="s">
        <v>48</v>
      </c>
      <c r="AO37" s="3" t="s">
        <v>24</v>
      </c>
      <c r="AP37" s="3" t="s">
        <v>23</v>
      </c>
      <c r="AQ37" s="3"/>
      <c r="AR37" s="3" t="s">
        <v>24</v>
      </c>
      <c r="AS37" s="3" t="s">
        <v>23</v>
      </c>
      <c r="AT37" s="3"/>
      <c r="AU37" s="3" t="s">
        <v>22</v>
      </c>
      <c r="AV37" s="3" t="s">
        <v>23</v>
      </c>
      <c r="AW37" s="1"/>
      <c r="AX37" s="1"/>
      <c r="AY37" s="1"/>
    </row>
    <row r="38" spans="1:51" x14ac:dyDescent="0.25">
      <c r="A38" s="23" t="s">
        <v>54</v>
      </c>
      <c r="B38" s="1" t="s">
        <v>72</v>
      </c>
      <c r="C38" s="3" t="s">
        <v>153</v>
      </c>
      <c r="D38" s="3" t="str">
        <f>ROUND('[1]Puntos de control todos los dat'!G32,3)&amp;" - "&amp;ROUND('[1]Puntos de control todos los dat'!G32,3)</f>
        <v>851,76 - 851,76</v>
      </c>
      <c r="E38" s="38" t="s">
        <v>731</v>
      </c>
      <c r="F38" s="38" t="s">
        <v>731</v>
      </c>
      <c r="G38" s="38" t="s">
        <v>731</v>
      </c>
      <c r="H38" s="38" t="s">
        <v>731</v>
      </c>
      <c r="I38" s="38" t="s">
        <v>731</v>
      </c>
      <c r="J38" s="3"/>
      <c r="K38" s="3" t="s">
        <v>17</v>
      </c>
      <c r="L38" s="3" t="s">
        <v>154</v>
      </c>
      <c r="M38" s="3" t="str">
        <f>ROUND((3*MIN('[1]Puntos de control todos los dat'!G30,'[1]Puntos de control todos los dat'!G33)+MAX('[1]Puntos de control todos los dat'!G30,'[1]Puntos de control todos los dat'!G33))/4,3)&amp;" - "&amp;ROUND((MIN('[1]Puntos de control todos los dat'!G30,'[1]Puntos de control todos los dat'!G33)+3*MAX('[1]Puntos de control todos los dat'!G30,'[1]Puntos de control todos los dat'!G33))/4,3)</f>
        <v>759,06 - 775,88</v>
      </c>
      <c r="N38" s="38">
        <v>0.82424392129908075</v>
      </c>
      <c r="O38" s="38">
        <v>-0.27885675265686077</v>
      </c>
      <c r="P38" s="38">
        <v>-17.575607870091925</v>
      </c>
      <c r="Q38" s="38">
        <v>-163.64999999999998</v>
      </c>
      <c r="R38" s="38">
        <v>-9.6344615239698783E-2</v>
      </c>
      <c r="S38" s="3"/>
      <c r="T38" s="23" t="s">
        <v>15</v>
      </c>
      <c r="U38" s="23" t="s">
        <v>155</v>
      </c>
      <c r="V38" s="3" t="str">
        <f>ROUND((MIN('[1]Puntos de control todos los dat'!G31,'[1]Puntos de control todos los dat'!G34,'[1]Puntos de control todos los dat'!G37)+MEDIAN('[1]Puntos de control todos los dat'!G31,'[1]Puntos de control todos los dat'!G34,'[1]Puntos de control todos los dat'!G37))/2,3)&amp;" - "&amp;ROUND((MEDIAN('[1]Puntos de control todos los dat'!G31,'[1]Puntos de control todos los dat'!G34,'[1]Puntos de control todos los dat'!G37)+MAX('[1]Puntos de control todos los dat'!G31,'[1]Puntos de control todos los dat'!G34,'[1]Puntos de control todos los dat'!G37))/2,3)</f>
        <v>738,025 - 775,29</v>
      </c>
      <c r="W38" s="38">
        <v>0.89865254444786713</v>
      </c>
      <c r="X38" s="38">
        <v>-0.15416467580574181</v>
      </c>
      <c r="Y38" s="38">
        <v>-10.134745555213287</v>
      </c>
      <c r="Z38" s="38">
        <v>-85.543333333333294</v>
      </c>
      <c r="AA38" s="38">
        <v>-5.337862151160732E-2</v>
      </c>
      <c r="AB38" s="28"/>
      <c r="AC38" s="1" t="s">
        <v>72</v>
      </c>
      <c r="AD38" s="1" t="s">
        <v>156</v>
      </c>
      <c r="AE38" s="3" t="str">
        <f>ROUND('[1]Puntos de control todos los dat'!G70,3)&amp;" - "&amp;ROUND('[1]Puntos de control todos los dat'!G70,3)</f>
        <v>2528,68 - 2528,68</v>
      </c>
      <c r="AF38" s="39" t="s">
        <v>731</v>
      </c>
      <c r="AG38" s="39" t="s">
        <v>731</v>
      </c>
      <c r="AH38" s="39" t="s">
        <v>731</v>
      </c>
      <c r="AI38" s="39" t="s">
        <v>731</v>
      </c>
      <c r="AJ38" s="39" t="s">
        <v>731</v>
      </c>
      <c r="AK38" s="9"/>
      <c r="AL38" s="1"/>
      <c r="AM38" s="1"/>
      <c r="AN38" s="10" t="s">
        <v>54</v>
      </c>
      <c r="AO38" s="10" t="s">
        <v>72</v>
      </c>
      <c r="AP38" s="10" t="s">
        <v>23</v>
      </c>
      <c r="AQ38" s="3"/>
      <c r="AR38" s="3" t="s">
        <v>22</v>
      </c>
      <c r="AS38" s="3" t="s">
        <v>23</v>
      </c>
      <c r="AT38" s="3"/>
      <c r="AU38" s="3" t="s">
        <v>74</v>
      </c>
      <c r="AV38" s="3" t="s">
        <v>40</v>
      </c>
      <c r="AW38" s="1"/>
      <c r="AX38" s="1"/>
      <c r="AY38" s="1"/>
    </row>
    <row r="39" spans="1:51" x14ac:dyDescent="0.25">
      <c r="A39" s="3" t="s">
        <v>59</v>
      </c>
      <c r="B39" s="1" t="s">
        <v>72</v>
      </c>
      <c r="C39" s="3" t="s">
        <v>157</v>
      </c>
      <c r="D39" s="3" t="str">
        <f>ROUND('[1]Puntos de control todos los dat'!G47,3)&amp;" - "&amp;ROUND('[1]Puntos de control todos los dat'!G47,3)</f>
        <v>1841,01 - 1841,01</v>
      </c>
      <c r="E39" s="38" t="s">
        <v>731</v>
      </c>
      <c r="F39" s="38" t="s">
        <v>731</v>
      </c>
      <c r="G39" s="38" t="s">
        <v>731</v>
      </c>
      <c r="H39" s="38" t="s">
        <v>731</v>
      </c>
      <c r="I39" s="38" t="s">
        <v>731</v>
      </c>
      <c r="J39" s="3"/>
      <c r="K39" s="3" t="s">
        <v>72</v>
      </c>
      <c r="L39" s="3" t="s">
        <v>158</v>
      </c>
      <c r="M39" s="3" t="str">
        <f>ROUND('[1]Puntos de control todos los dat'!G48,3)&amp;" - "&amp;ROUND('[1]Puntos de control todos los dat'!G48,3)</f>
        <v>1303,08 - 1303,08</v>
      </c>
      <c r="N39" s="38" t="s">
        <v>731</v>
      </c>
      <c r="O39" s="38" t="s">
        <v>731</v>
      </c>
      <c r="P39" s="38" t="s">
        <v>731</v>
      </c>
      <c r="Q39" s="38" t="s">
        <v>731</v>
      </c>
      <c r="R39" s="38" t="s">
        <v>731</v>
      </c>
      <c r="S39" s="3"/>
      <c r="T39" s="3" t="s">
        <v>72</v>
      </c>
      <c r="U39" s="3" t="s">
        <v>159</v>
      </c>
      <c r="V39" s="3" t="str">
        <f>ROUND('[1]Puntos de control todos los dat'!G52,3)&amp;" - "&amp;ROUND('[1]Puntos de control todos los dat'!G52,3)</f>
        <v>904,15 - 904,15</v>
      </c>
      <c r="W39" s="38" t="s">
        <v>731</v>
      </c>
      <c r="X39" s="38" t="s">
        <v>731</v>
      </c>
      <c r="Y39" s="38" t="s">
        <v>731</v>
      </c>
      <c r="Z39" s="38" t="s">
        <v>731</v>
      </c>
      <c r="AA39" s="38" t="s">
        <v>731</v>
      </c>
      <c r="AB39" s="3"/>
      <c r="AC39" s="1" t="s">
        <v>63</v>
      </c>
      <c r="AD39" s="1" t="s">
        <v>63</v>
      </c>
      <c r="AE39" s="3" t="s">
        <v>63</v>
      </c>
      <c r="AF39" s="39" t="s">
        <v>731</v>
      </c>
      <c r="AG39" s="39" t="s">
        <v>731</v>
      </c>
      <c r="AH39" s="39" t="s">
        <v>731</v>
      </c>
      <c r="AI39" s="39" t="s">
        <v>731</v>
      </c>
      <c r="AJ39" s="39" t="s">
        <v>731</v>
      </c>
      <c r="AK39" s="9"/>
      <c r="AL39" s="1"/>
      <c r="AM39" s="1"/>
      <c r="AN39" s="3" t="s">
        <v>59</v>
      </c>
      <c r="AO39" s="3" t="s">
        <v>63</v>
      </c>
      <c r="AP39" s="3" t="s">
        <v>63</v>
      </c>
      <c r="AQ39" s="3"/>
      <c r="AR39" s="3" t="s">
        <v>63</v>
      </c>
      <c r="AS39" s="3" t="s">
        <v>63</v>
      </c>
      <c r="AT39" s="3"/>
      <c r="AU39" s="3" t="s">
        <v>63</v>
      </c>
      <c r="AV39" s="3" t="s">
        <v>63</v>
      </c>
      <c r="AW39" s="1"/>
      <c r="AX39" s="1"/>
      <c r="AY39" s="1"/>
    </row>
    <row r="40" spans="1:51" x14ac:dyDescent="0.25">
      <c r="A40" s="3" t="s">
        <v>64</v>
      </c>
      <c r="B40" s="1" t="s">
        <v>17</v>
      </c>
      <c r="C40" s="3" t="s">
        <v>160</v>
      </c>
      <c r="D40" s="3" t="str">
        <f>ROUND((3*MIN('[1]Puntos de control todos los dat'!G53,'[1]Puntos de control todos los dat'!G56)+MAX('[1]Puntos de control todos los dat'!G53,'[1]Puntos de control todos los dat'!G56))/4,3)&amp;" - "&amp;ROUND((MIN('[1]Puntos de control todos los dat'!G53,'[1]Puntos de control todos los dat'!G56)+3*MAX('[1]Puntos de control todos los dat'!G53,'[1]Puntos de control todos los dat'!G56))/4,3)</f>
        <v>1106,105 - 1684,495</v>
      </c>
      <c r="E40" s="38">
        <v>1.546664301906034</v>
      </c>
      <c r="F40" s="38">
        <v>0.62916009883575652</v>
      </c>
      <c r="G40" s="38">
        <v>54.6664301906034</v>
      </c>
      <c r="H40" s="38">
        <v>493.16499999999996</v>
      </c>
      <c r="I40" s="38">
        <v>0.21465895661901205</v>
      </c>
      <c r="J40" s="3"/>
      <c r="K40" s="3" t="s">
        <v>17</v>
      </c>
      <c r="L40" s="3" t="s">
        <v>161</v>
      </c>
      <c r="M40" s="3" t="str">
        <f>ROUND((3*MIN('[1]Puntos de control todos los dat'!G54,'[1]Puntos de control todos los dat'!G57)+MAX('[1]Puntos de control todos los dat'!G54,'[1]Puntos de control todos los dat'!G57))/4,3)&amp;" - "&amp;ROUND((MIN('[1]Puntos de control todos los dat'!G54,'[1]Puntos de control todos los dat'!G57)+3*MAX('[1]Puntos de control todos los dat'!G54,'[1]Puntos de control todos los dat'!G57))/4,3)</f>
        <v>856,033 - 863,138</v>
      </c>
      <c r="N40" s="38">
        <v>0.9231731677979208</v>
      </c>
      <c r="O40" s="38">
        <v>-0.11532680249781116</v>
      </c>
      <c r="P40" s="38">
        <v>-7.6826832202079203</v>
      </c>
      <c r="Q40" s="38">
        <v>-71.534999999999968</v>
      </c>
      <c r="R40" s="38">
        <v>-3.9947953459670893E-2</v>
      </c>
      <c r="S40" s="3"/>
      <c r="T40" s="3" t="s">
        <v>17</v>
      </c>
      <c r="U40" s="3" t="s">
        <v>162</v>
      </c>
      <c r="V40" s="3" t="str">
        <f>ROUND((3*MIN('[1]Puntos de control todos los dat'!G55,'[1]Puntos de control todos los dat'!G58)+MAX('[1]Puntos de control todos los dat'!G55,'[1]Puntos de control todos los dat'!G58))/4,3)&amp;" - "&amp;ROUND((MIN('[1]Puntos de control todos los dat'!G55,'[1]Puntos de control todos los dat'!G58)+3*MAX('[1]Puntos de control todos los dat'!G55,'[1]Puntos de control todos los dat'!G58))/4,3)</f>
        <v>932,888 - 1027,583</v>
      </c>
      <c r="W40" s="38">
        <v>1.161333317536668</v>
      </c>
      <c r="X40" s="38">
        <v>0.21578210359182326</v>
      </c>
      <c r="Y40" s="38">
        <v>16.133331753666802</v>
      </c>
      <c r="Z40" s="38">
        <v>136.17499999999995</v>
      </c>
      <c r="AA40" s="38">
        <v>7.4645273927736441E-2</v>
      </c>
      <c r="AB40" s="3"/>
      <c r="AC40" s="1" t="s">
        <v>63</v>
      </c>
      <c r="AD40" s="1" t="s">
        <v>63</v>
      </c>
      <c r="AE40" s="3" t="s">
        <v>63</v>
      </c>
      <c r="AF40" s="39" t="s">
        <v>731</v>
      </c>
      <c r="AG40" s="39" t="s">
        <v>731</v>
      </c>
      <c r="AH40" s="39" t="s">
        <v>731</v>
      </c>
      <c r="AI40" s="39" t="s">
        <v>731</v>
      </c>
      <c r="AJ40" s="39" t="s">
        <v>731</v>
      </c>
      <c r="AK40" s="9"/>
      <c r="AL40" s="1"/>
      <c r="AM40" s="1"/>
      <c r="AN40" s="3" t="s">
        <v>64</v>
      </c>
      <c r="AO40" s="3" t="s">
        <v>63</v>
      </c>
      <c r="AP40" s="3" t="s">
        <v>63</v>
      </c>
      <c r="AQ40" s="3"/>
      <c r="AR40" s="3" t="s">
        <v>63</v>
      </c>
      <c r="AS40" s="3" t="s">
        <v>63</v>
      </c>
      <c r="AT40" s="3"/>
      <c r="AU40" s="3" t="s">
        <v>63</v>
      </c>
      <c r="AV40" s="3" t="s">
        <v>63</v>
      </c>
      <c r="AW40" s="1"/>
      <c r="AX40" s="1"/>
      <c r="AY40" s="1"/>
    </row>
    <row r="41" spans="1:51" x14ac:dyDescent="0.25">
      <c r="A41" s="20" t="s">
        <v>163</v>
      </c>
      <c r="B41" s="1"/>
      <c r="C41" s="1"/>
      <c r="D41" s="9"/>
      <c r="E41" s="9"/>
      <c r="F41" s="1"/>
      <c r="G41" s="1"/>
      <c r="H41" s="1"/>
      <c r="I41" s="1"/>
      <c r="J41" s="1"/>
      <c r="K41" s="1"/>
      <c r="L41" s="1"/>
      <c r="M41" s="9"/>
      <c r="N41" s="9"/>
      <c r="O41" s="9"/>
      <c r="S41" s="9"/>
      <c r="T41" s="1"/>
      <c r="U41" s="1"/>
      <c r="V41" s="9"/>
      <c r="W41" s="9"/>
      <c r="X41" s="9"/>
      <c r="AB41" s="9"/>
      <c r="AC41" s="1"/>
      <c r="AD41" s="1"/>
      <c r="AE41" s="9"/>
      <c r="AF41" s="9"/>
      <c r="AG41" s="9"/>
      <c r="AK41" s="9"/>
      <c r="AL41" s="1"/>
      <c r="AM41" s="1"/>
      <c r="AN41" s="1" t="s">
        <v>163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3" t="s">
        <v>14</v>
      </c>
      <c r="B42" s="1" t="s">
        <v>15</v>
      </c>
      <c r="C42" s="1" t="s">
        <v>164</v>
      </c>
      <c r="D42" s="9" t="str">
        <f>ROUND((MIN('[1]Puntos de control todos los dat'!H38,'[1]Puntos de control todos los dat'!H41,'[1]Puntos de control todos los dat'!H44)+MEDIAN('[1]Puntos de control todos los dat'!H38,'[1]Puntos de control todos los dat'!H41,'[1]Puntos de control todos los dat'!H44))/2,3)&amp;" - "&amp;ROUND((MEDIAN('[1]Puntos de control todos los dat'!H38,'[1]Puntos de control todos los dat'!H41,'[1]Puntos de control todos los dat'!H44)+MAX('[1]Puntos de control todos los dat'!H38,'[1]Puntos de control todos los dat'!H41,'[1]Puntos de control todos los dat'!H44))/2,3)</f>
        <v>60,355 - 73,69</v>
      </c>
      <c r="E42" s="39">
        <v>1</v>
      </c>
      <c r="F42" s="40">
        <v>0</v>
      </c>
      <c r="G42" s="40">
        <v>0</v>
      </c>
      <c r="H42" s="40">
        <v>0</v>
      </c>
      <c r="I42" s="40">
        <v>0</v>
      </c>
      <c r="J42" s="1"/>
      <c r="K42" s="1" t="s">
        <v>15</v>
      </c>
      <c r="L42" s="1" t="s">
        <v>165</v>
      </c>
      <c r="M42" s="9" t="str">
        <f>ROUND((MIN('[1]Puntos de control todos los dat'!H39,'[1]Puntos de control todos los dat'!H42,'[1]Puntos de control todos los dat'!H45)+MEDIAN('[1]Puntos de control todos los dat'!H39,'[1]Puntos de control todos los dat'!H42,'[1]Puntos de control todos los dat'!H45))/2,3)&amp;" - "&amp;ROUND((MEDIAN('[1]Puntos de control todos los dat'!H39,'[1]Puntos de control todos los dat'!H42,'[1]Puntos de control todos los dat'!H45)+MAX('[1]Puntos de control todos los dat'!H39,'[1]Puntos de control todos los dat'!H42,'[1]Puntos de control todos los dat'!H45))/2,3)</f>
        <v>76,9 - 89,23</v>
      </c>
      <c r="N42" s="39">
        <v>1</v>
      </c>
      <c r="O42" s="39">
        <v>0</v>
      </c>
      <c r="P42" s="39">
        <v>0</v>
      </c>
      <c r="Q42" s="39">
        <v>0</v>
      </c>
      <c r="R42" s="39">
        <v>0</v>
      </c>
      <c r="S42" s="9"/>
      <c r="T42" s="1" t="s">
        <v>15</v>
      </c>
      <c r="U42" s="1" t="s">
        <v>166</v>
      </c>
      <c r="V42" s="9" t="str">
        <f>ROUND((MIN('[1]Puntos de control todos los dat'!H40,'[1]Puntos de control todos los dat'!H43,'[1]Puntos de control todos los dat'!H46)+MEDIAN('[1]Puntos de control todos los dat'!H40,'[1]Puntos de control todos los dat'!H43,'[1]Puntos de control todos los dat'!H46))/2,3)&amp;" - "&amp;ROUND((MEDIAN('[1]Puntos de control todos los dat'!H40,'[1]Puntos de control todos los dat'!H43,'[1]Puntos de control todos los dat'!H46)+MAX('[1]Puntos de control todos los dat'!H40,'[1]Puntos de control todos los dat'!H43,'[1]Puntos de control todos los dat'!H46))/2,3)</f>
        <v>87,64 - 90,4</v>
      </c>
      <c r="W42" s="39">
        <v>1</v>
      </c>
      <c r="X42" s="39">
        <v>0</v>
      </c>
      <c r="Y42" s="39">
        <v>0</v>
      </c>
      <c r="Z42" s="39">
        <v>0</v>
      </c>
      <c r="AA42" s="39">
        <v>0</v>
      </c>
      <c r="AB42" s="9"/>
      <c r="AC42" s="1" t="s">
        <v>17</v>
      </c>
      <c r="AD42" s="1" t="s">
        <v>167</v>
      </c>
      <c r="AE42" s="9" t="str">
        <f>ROUND((3*MIN('[1]Puntos de control todos los dat'!H59,'[1]Puntos de control todos los dat'!H60)+MAX('[1]Puntos de control todos los dat'!H59,'[1]Puntos de control todos los dat'!H60))/4,3)&amp;" - "&amp;ROUND((MIN('[1]Puntos de control todos los dat'!H59,'[1]Puntos de control todos los dat'!H60)+3*MAX('[1]Puntos de control todos los dat'!H59,'[1]Puntos de control todos los dat'!H60))/4,3)</f>
        <v>273,483 - 618,508</v>
      </c>
      <c r="AF42" s="39">
        <v>1</v>
      </c>
      <c r="AG42" s="39">
        <v>0</v>
      </c>
      <c r="AH42" s="39">
        <v>0</v>
      </c>
      <c r="AI42" s="39">
        <v>0</v>
      </c>
      <c r="AJ42" s="39">
        <v>0</v>
      </c>
      <c r="AK42" s="9"/>
      <c r="AL42" s="1"/>
      <c r="AM42" s="1"/>
      <c r="AN42" s="19" t="s">
        <v>14</v>
      </c>
      <c r="AO42" s="30" t="s">
        <v>22</v>
      </c>
      <c r="AP42" s="30" t="s">
        <v>23</v>
      </c>
      <c r="AQ42" s="1"/>
      <c r="AR42" s="1" t="s">
        <v>22</v>
      </c>
      <c r="AS42" s="1" t="s">
        <v>23</v>
      </c>
      <c r="AT42" s="1"/>
      <c r="AU42" s="1" t="s">
        <v>22</v>
      </c>
      <c r="AV42" s="1" t="s">
        <v>23</v>
      </c>
      <c r="AW42" s="1"/>
      <c r="AX42" s="1"/>
      <c r="AY42" s="1"/>
    </row>
    <row r="43" spans="1:51" x14ac:dyDescent="0.25">
      <c r="A43" s="3" t="s">
        <v>25</v>
      </c>
      <c r="B43" s="1" t="s">
        <v>17</v>
      </c>
      <c r="C43" s="1" t="s">
        <v>168</v>
      </c>
      <c r="D43" s="9" t="str">
        <f>ROUND((3*MIN('[1]Puntos de control todos los dat'!H71,'[1]Puntos de control todos los dat'!H74)+MAX('[1]Puntos de control todos los dat'!H71,'[1]Puntos de control todos los dat'!H74))/4,3)&amp;" - "&amp;ROUND((MIN('[1]Puntos de control todos los dat'!H71,'[1]Puntos de control todos los dat'!H74)+3*MAX('[1]Puntos de control todos los dat'!H71,'[1]Puntos de control todos los dat'!H74))/4,3)</f>
        <v>1124,005 - 1157,755</v>
      </c>
      <c r="E43" s="39">
        <v>16.877755313378373</v>
      </c>
      <c r="F43" s="40">
        <v>4.0770511379374339</v>
      </c>
      <c r="G43" s="40">
        <v>1587.7755313378373</v>
      </c>
      <c r="H43" s="40">
        <v>1073.2833333333335</v>
      </c>
      <c r="I43" s="40">
        <v>0.88812913226844825</v>
      </c>
      <c r="J43" s="1"/>
      <c r="K43" s="1" t="s">
        <v>15</v>
      </c>
      <c r="L43" s="1" t="s">
        <v>169</v>
      </c>
      <c r="M43" s="9" t="str">
        <f>ROUND((MIN('[1]Puntos de control todos los dat'!H72,'[1]Puntos de control todos los dat'!H75,'[1]Puntos de control todos los dat'!H78)+MEDIAN('[1]Puntos de control todos los dat'!H72,'[1]Puntos de control todos los dat'!H75,'[1]Puntos de control todos los dat'!H78))/2,3)&amp;" - "&amp;ROUND((MEDIAN('[1]Puntos de control todos los dat'!H72,'[1]Puntos de control todos los dat'!H75,'[1]Puntos de control todos los dat'!H78)+MAX('[1]Puntos de control todos los dat'!H72,'[1]Puntos de control todos los dat'!H75,'[1]Puntos de control todos los dat'!H78))/2,3)</f>
        <v>86,31 - 95,985</v>
      </c>
      <c r="N43" s="39">
        <v>1.1212183492272279</v>
      </c>
      <c r="O43" s="39">
        <v>0.16506726000972027</v>
      </c>
      <c r="P43" s="39">
        <v>12.121834922722785</v>
      </c>
      <c r="Q43" s="39">
        <v>9.8299999999999983</v>
      </c>
      <c r="R43" s="39">
        <v>5.714562542389303E-2</v>
      </c>
      <c r="S43" s="9"/>
      <c r="T43" s="1" t="s">
        <v>15</v>
      </c>
      <c r="U43" s="1" t="s">
        <v>170</v>
      </c>
      <c r="V43" s="9" t="str">
        <f>ROUND((MIN('[1]Puntos de control todos los dat'!H73,'[1]Puntos de control todos los dat'!H76,'[1]Puntos de control todos los dat'!H79)+MEDIAN('[1]Puntos de control todos los dat'!H73,'[1]Puntos de control todos los dat'!H76,'[1]Puntos de control todos los dat'!H79))/2,3)&amp;" - "&amp;ROUND((MEDIAN('[1]Puntos de control todos los dat'!H73,'[1]Puntos de control todos los dat'!H76,'[1]Puntos de control todos los dat'!H79)+MAX('[1]Puntos de control todos los dat'!H73,'[1]Puntos de control todos los dat'!H76,'[1]Puntos de control todos los dat'!H79))/2,3)</f>
        <v>68,015 - 92,165</v>
      </c>
      <c r="W43" s="39">
        <v>0.89913899138991382</v>
      </c>
      <c r="X43" s="39">
        <v>-0.15338394612259051</v>
      </c>
      <c r="Y43" s="39">
        <v>-10.086100861008617</v>
      </c>
      <c r="Z43" s="39">
        <v>-9.0200000000000102</v>
      </c>
      <c r="AA43" s="39">
        <v>-5.3108808290155497E-2</v>
      </c>
      <c r="AB43" s="9"/>
      <c r="AC43" s="1" t="s">
        <v>17</v>
      </c>
      <c r="AD43" s="1" t="s">
        <v>171</v>
      </c>
      <c r="AE43" s="9" t="str">
        <f>ROUND((3*MIN('[1]Puntos de control todos los dat'!H61,'[1]Puntos de control todos los dat'!H62)+MAX('[1]Puntos de control todos los dat'!H61,'[1]Puntos de control todos los dat'!H62))/4,3)&amp;" - "&amp;ROUND((MIN('[1]Puntos de control todos los dat'!H61,'[1]Puntos de control todos los dat'!H62)+3*MAX('[1]Puntos de control todos los dat'!H61,'[1]Puntos de control todos los dat'!H62))/4,3)</f>
        <v>742,975 - 2067,785</v>
      </c>
      <c r="AF43" s="39">
        <v>3.1511115595466319</v>
      </c>
      <c r="AG43" s="39">
        <v>1.6558608313328071</v>
      </c>
      <c r="AH43" s="39">
        <v>215.11115595466319</v>
      </c>
      <c r="AI43" s="39">
        <v>959.3850000000001</v>
      </c>
      <c r="AJ43" s="39">
        <v>0.51820133684423741</v>
      </c>
      <c r="AK43" s="9"/>
      <c r="AL43" s="1"/>
      <c r="AM43" s="1"/>
      <c r="AN43" s="3" t="s">
        <v>25</v>
      </c>
      <c r="AO43" s="1" t="s">
        <v>96</v>
      </c>
      <c r="AP43" s="1" t="s">
        <v>13</v>
      </c>
      <c r="AQ43" s="1"/>
      <c r="AR43" s="1" t="s">
        <v>96</v>
      </c>
      <c r="AS43" s="1" t="s">
        <v>13</v>
      </c>
      <c r="AT43" s="1"/>
      <c r="AU43" s="1" t="s">
        <v>53</v>
      </c>
      <c r="AV43" s="1" t="s">
        <v>30</v>
      </c>
      <c r="AW43" s="1"/>
      <c r="AX43" s="1"/>
      <c r="AY43" s="1"/>
    </row>
    <row r="44" spans="1:51" x14ac:dyDescent="0.25">
      <c r="A44" s="23" t="s">
        <v>35</v>
      </c>
      <c r="B44" s="24" t="s">
        <v>15</v>
      </c>
      <c r="C44" s="24" t="s">
        <v>172</v>
      </c>
      <c r="D44" s="25" t="str">
        <f>ROUND((MIN('[1]Puntos de control todos los dat'!H2,'[1]Puntos de control todos los dat'!H5,'[1]Puntos de control todos los dat'!H8)+MEDIAN('[1]Puntos de control todos los dat'!H2,'[1]Puntos de control todos los dat'!H5,'[1]Puntos de control todos los dat'!H8))/2,3)&amp;" - "&amp;ROUND((MEDIAN('[1]Puntos de control todos los dat'!H2,'[1]Puntos de control todos los dat'!H5,'[1]Puntos de control todos los dat'!H8)+MAX('[1]Puntos de control todos los dat'!H2,'[1]Puntos de control todos los dat'!H5,'[1]Puntos de control todos los dat'!H8))/2,3)</f>
        <v>99,395 - 108,485</v>
      </c>
      <c r="E44" s="42">
        <v>1.5191577493959267</v>
      </c>
      <c r="F44" s="43">
        <v>0.6032716871241427</v>
      </c>
      <c r="G44" s="43">
        <v>51.915774939592673</v>
      </c>
      <c r="H44" s="43">
        <v>35.093333333333334</v>
      </c>
      <c r="I44" s="43">
        <v>0.20608385859139491</v>
      </c>
      <c r="J44" s="1"/>
      <c r="K44" s="1" t="s">
        <v>15</v>
      </c>
      <c r="L44" s="1" t="s">
        <v>173</v>
      </c>
      <c r="M44" s="25" t="str">
        <f>ROUND((MIN('[1]Puntos de control todos los dat'!H3,'[1]Puntos de control todos los dat'!H6,'[1]Puntos de control todos los dat'!H9)+MEDIAN('[1]Puntos de control todos los dat'!H3,'[1]Puntos de control todos los dat'!H6,'[1]Puntos de control todos los dat'!H9))/2,3)&amp;" - "&amp;ROUND((MEDIAN('[1]Puntos de control todos los dat'!H3,'[1]Puntos de control todos los dat'!H6,'[1]Puntos de control todos los dat'!H9)+MAX('[1]Puntos de control todos los dat'!H3,'[1]Puntos de control todos los dat'!H6,'[1]Puntos de control todos los dat'!H9))/2,3)</f>
        <v>72,09 - 85,2</v>
      </c>
      <c r="N44" s="42">
        <v>0.94734462347911874</v>
      </c>
      <c r="O44" s="42">
        <v>-7.8038752466701972E-2</v>
      </c>
      <c r="P44" s="42">
        <v>-5.2655376520881259</v>
      </c>
      <c r="Q44" s="42">
        <v>-4.269999999999996</v>
      </c>
      <c r="R44" s="42">
        <v>-2.7039577836411581E-2</v>
      </c>
      <c r="S44" s="9"/>
      <c r="T44" s="24" t="s">
        <v>15</v>
      </c>
      <c r="U44" s="24" t="s">
        <v>174</v>
      </c>
      <c r="V44" s="25" t="str">
        <f>ROUND((MIN('[1]Puntos de control todos los dat'!H4,'[1]Puntos de control todos los dat'!H7,'[1]Puntos de control todos los dat'!H10)+MEDIAN('[1]Puntos de control todos los dat'!H4,'[1]Puntos de control todos los dat'!H7,'[1]Puntos de control todos los dat'!H10))/2,3)&amp;" - "&amp;ROUND((MEDIAN('[1]Puntos de control todos los dat'!H4,'[1]Puntos de control todos los dat'!H7,'[1]Puntos de control todos los dat'!H10)+MAX('[1]Puntos de control todos los dat'!H4,'[1]Puntos de control todos los dat'!H7,'[1]Puntos de control todos los dat'!H10))/2,3)</f>
        <v>72,86 - 78,62</v>
      </c>
      <c r="W44" s="42">
        <v>0.84129114018412898</v>
      </c>
      <c r="X44" s="42">
        <v>-0.24932294385577278</v>
      </c>
      <c r="Y44" s="42">
        <v>-15.870885981587101</v>
      </c>
      <c r="Z44" s="42">
        <v>-14.193333333333342</v>
      </c>
      <c r="AA44" s="42">
        <v>-8.6194331983805716E-2</v>
      </c>
      <c r="AB44" s="26"/>
      <c r="AC44" s="1" t="s">
        <v>17</v>
      </c>
      <c r="AD44" s="1" t="s">
        <v>175</v>
      </c>
      <c r="AE44" s="25" t="str">
        <f>ROUND((3*MIN('[1]Puntos de control todos los dat'!H63,'[1]Puntos de control todos los dat'!H64)+MAX('[1]Puntos de control todos los dat'!H63,'[1]Puntos de control todos los dat'!H64))/4,3)&amp;" - "&amp;ROUND((MIN('[1]Puntos de control todos los dat'!H63,'[1]Puntos de control todos los dat'!H64)+3*MAX('[1]Puntos de control todos los dat'!H63,'[1]Puntos de control todos los dat'!H64))/4,3)</f>
        <v>116,695 - 157,805</v>
      </c>
      <c r="AF44" s="39">
        <v>0.30773887599636768</v>
      </c>
      <c r="AG44" s="39">
        <v>-1.7002213871132248</v>
      </c>
      <c r="AH44" s="39">
        <v>-69.22611240036322</v>
      </c>
      <c r="AI44" s="39">
        <v>-308.745</v>
      </c>
      <c r="AJ44" s="39">
        <v>-0.52935730267726255</v>
      </c>
      <c r="AK44" s="9"/>
      <c r="AL44" s="1"/>
      <c r="AM44" s="1"/>
      <c r="AN44" s="3" t="s">
        <v>35</v>
      </c>
      <c r="AO44" s="1" t="s">
        <v>34</v>
      </c>
      <c r="AP44" s="1" t="s">
        <v>21</v>
      </c>
      <c r="AQ44" s="1"/>
      <c r="AR44" s="1" t="s">
        <v>22</v>
      </c>
      <c r="AS44" s="1" t="s">
        <v>23</v>
      </c>
      <c r="AT44" s="1"/>
      <c r="AU44" s="1" t="s">
        <v>22</v>
      </c>
      <c r="AV44" s="1" t="s">
        <v>23</v>
      </c>
      <c r="AW44" s="1"/>
      <c r="AX44" s="1"/>
      <c r="AY44" s="1"/>
    </row>
    <row r="45" spans="1:51" x14ac:dyDescent="0.25">
      <c r="A45" s="23" t="s">
        <v>42</v>
      </c>
      <c r="B45" s="1" t="s">
        <v>15</v>
      </c>
      <c r="C45" s="1" t="s">
        <v>176</v>
      </c>
      <c r="D45" s="9" t="str">
        <f>ROUND((MIN('[1]Puntos de control todos los dat'!H11,'[1]Puntos de control todos los dat'!H14,'[1]Puntos de control todos los dat'!H17)+MEDIAN('[1]Puntos de control todos los dat'!H11,'[1]Puntos de control todos los dat'!H14,'[1]Puntos de control todos los dat'!H17))/2,3)&amp;" - "&amp;ROUND((MEDIAN('[1]Puntos de control todos los dat'!H11,'[1]Puntos de control todos los dat'!H14,'[1]Puntos de control todos los dat'!H17)+MAX('[1]Puntos de control todos los dat'!H11,'[1]Puntos de control todos los dat'!H14,'[1]Puntos de control todos los dat'!H17))/2,3)</f>
        <v>69,725 - 86,93</v>
      </c>
      <c r="E45" s="39">
        <v>1.1959662705261602</v>
      </c>
      <c r="F45" s="40">
        <v>0.25817670221927502</v>
      </c>
      <c r="G45" s="40">
        <v>19.596627052616022</v>
      </c>
      <c r="H45" s="40">
        <v>13.24666666666667</v>
      </c>
      <c r="I45" s="40">
        <v>8.9239198778406567E-2</v>
      </c>
      <c r="J45" s="1"/>
      <c r="K45" s="1" t="s">
        <v>17</v>
      </c>
      <c r="L45" s="1" t="s">
        <v>177</v>
      </c>
      <c r="M45" s="9" t="str">
        <f>ROUND((3*MIN('[1]Puntos de control todos los dat'!H12,'[1]Puntos de control todos los dat'!H18)+MAX('[1]Puntos de control todos los dat'!H12,'[1]Puntos de control todos los dat'!H18))/4,3)&amp;" - "&amp;ROUND((MIN('[1]Puntos de control todos los dat'!H12,'[1]Puntos de control todos los dat'!H18)+3*MAX('[1]Puntos de control todos los dat'!H12,'[1]Puntos de control todos los dat'!H18))/4,3)</f>
        <v>58,958 - 74,113</v>
      </c>
      <c r="N45" s="39">
        <v>0.82047435054258466</v>
      </c>
      <c r="O45" s="39">
        <v>-0.28546986160348548</v>
      </c>
      <c r="P45" s="39">
        <v>-17.952564945741535</v>
      </c>
      <c r="Q45" s="39">
        <v>-14.558333333333337</v>
      </c>
      <c r="R45" s="39">
        <v>-9.861476455513285E-2</v>
      </c>
      <c r="S45" s="9"/>
      <c r="T45" s="24" t="s">
        <v>15</v>
      </c>
      <c r="U45" s="24" t="s">
        <v>178</v>
      </c>
      <c r="V45" s="9" t="str">
        <f>ROUND((MIN('[1]Puntos de control todos los dat'!H13,'[1]Puntos de control todos los dat'!H16,'[1]Puntos de control todos los dat'!H19)+MEDIAN('[1]Puntos de control todos los dat'!H13,'[1]Puntos de control todos los dat'!H16,'[1]Puntos de control todos los dat'!H19))/2,3)&amp;" - "&amp;ROUND((MEDIAN('[1]Puntos de control todos los dat'!H13,'[1]Puntos de control todos los dat'!H16,'[1]Puntos de control todos los dat'!H19)+MAX('[1]Puntos de control todos los dat'!H13,'[1]Puntos de control todos los dat'!H16,'[1]Puntos de control todos los dat'!H19))/2,3)</f>
        <v>65,5 - 74,395</v>
      </c>
      <c r="W45" s="39">
        <v>0.7677513138767752</v>
      </c>
      <c r="X45" s="39">
        <v>-0.38128901875506827</v>
      </c>
      <c r="Y45" s="39">
        <v>-23.224868612322481</v>
      </c>
      <c r="Z45" s="39">
        <v>-20.769999999999996</v>
      </c>
      <c r="AA45" s="39">
        <v>-0.13138085900436455</v>
      </c>
      <c r="AB45" s="26"/>
      <c r="AC45" s="1" t="s">
        <v>17</v>
      </c>
      <c r="AD45" s="1" t="s">
        <v>179</v>
      </c>
      <c r="AE45" s="9" t="str">
        <f>ROUND((3*MIN('[1]Puntos de control todos los dat'!H65,'[1]Puntos de control todos los dat'!H66)+MAX('[1]Puntos de control todos los dat'!H65,'[1]Puntos de control todos los dat'!H66))/4,3)&amp;" - "&amp;ROUND((MIN('[1]Puntos de control todos los dat'!H65,'[1]Puntos de control todos los dat'!H66)+3*MAX('[1]Puntos de control todos los dat'!H65,'[1]Puntos de control todos los dat'!H66))/4,3)</f>
        <v>176,023 - 381,808</v>
      </c>
      <c r="AF45" s="39">
        <v>0.62537696610948545</v>
      </c>
      <c r="AG45" s="39">
        <v>-0.67720201200367058</v>
      </c>
      <c r="AH45" s="39">
        <v>-37.462303389051456</v>
      </c>
      <c r="AI45" s="39">
        <v>-167.08000000000004</v>
      </c>
      <c r="AJ45" s="39">
        <v>-0.2304837841939</v>
      </c>
      <c r="AK45" s="9"/>
      <c r="AL45" s="1"/>
      <c r="AM45" s="1"/>
      <c r="AN45" s="3" t="s">
        <v>42</v>
      </c>
      <c r="AO45" s="1" t="s">
        <v>53</v>
      </c>
      <c r="AP45" s="1" t="s">
        <v>30</v>
      </c>
      <c r="AQ45" s="1"/>
      <c r="AR45" s="1" t="s">
        <v>180</v>
      </c>
      <c r="AS45" s="1" t="s">
        <v>30</v>
      </c>
      <c r="AT45" s="1"/>
      <c r="AU45" s="1" t="s">
        <v>34</v>
      </c>
      <c r="AV45" s="1" t="s">
        <v>21</v>
      </c>
      <c r="AW45" s="1"/>
      <c r="AX45" s="1"/>
      <c r="AY45" s="1"/>
    </row>
    <row r="46" spans="1:51" x14ac:dyDescent="0.25">
      <c r="A46" s="3" t="s">
        <v>48</v>
      </c>
      <c r="B46" s="1" t="s">
        <v>15</v>
      </c>
      <c r="C46" s="1" t="s">
        <v>181</v>
      </c>
      <c r="D46" s="9" t="str">
        <f>ROUND((MIN('[1]Puntos de control todos los dat'!H20,'[1]Puntos de control todos los dat'!H23,'[1]Puntos de control todos los dat'!H26)+MEDIAN('[1]Puntos de control todos los dat'!H20,'[1]Puntos de control todos los dat'!H23,'[1]Puntos de control todos los dat'!H26))/2,3)&amp;" - "&amp;ROUND((MEDIAN('[1]Puntos de control todos los dat'!H20,'[1]Puntos de control todos los dat'!H23,'[1]Puntos de control todos los dat'!H26)+MAX('[1]Puntos de control todos los dat'!H20,'[1]Puntos de control todos los dat'!H23,'[1]Puntos de control todos los dat'!H26))/2,3)</f>
        <v>83,23 - 92,9</v>
      </c>
      <c r="E46" s="39">
        <v>1.3116524483455794</v>
      </c>
      <c r="F46" s="40">
        <v>0.39138549627272301</v>
      </c>
      <c r="G46" s="40">
        <v>31.165244834557939</v>
      </c>
      <c r="H46" s="40">
        <v>21.066666666666677</v>
      </c>
      <c r="I46" s="40">
        <v>0.13481803831221476</v>
      </c>
      <c r="J46" s="1"/>
      <c r="K46" s="1" t="s">
        <v>15</v>
      </c>
      <c r="L46" s="1" t="s">
        <v>182</v>
      </c>
      <c r="M46" s="9" t="str">
        <f>ROUND((MIN('[1]Puntos de control todos los dat'!H21,'[1]Puntos de control todos los dat'!H24,'[1]Puntos de control todos los dat'!H27)+MEDIAN('[1]Puntos de control todos los dat'!H21,'[1]Puntos de control todos los dat'!H24,'[1]Puntos de control todos los dat'!H27))/2,3)&amp;" - "&amp;ROUND((MEDIAN('[1]Puntos de control todos los dat'!H21,'[1]Puntos de control todos los dat'!H24,'[1]Puntos de control todos los dat'!H27)+MAX('[1]Puntos de control todos los dat'!H21,'[1]Puntos de control todos los dat'!H24,'[1]Puntos de control todos los dat'!H27))/2,3)</f>
        <v>67,715 - 79,91</v>
      </c>
      <c r="N46" s="39">
        <v>0.91104899704044717</v>
      </c>
      <c r="O46" s="39">
        <v>-0.13439944932720352</v>
      </c>
      <c r="P46" s="39">
        <v>-8.8951002959552827</v>
      </c>
      <c r="Q46" s="39">
        <v>-7.2133333333333383</v>
      </c>
      <c r="R46" s="39">
        <v>-4.6545642261034192E-2</v>
      </c>
      <c r="S46" s="9"/>
      <c r="T46" s="1" t="s">
        <v>15</v>
      </c>
      <c r="U46" s="1" t="s">
        <v>183</v>
      </c>
      <c r="V46" s="9" t="str">
        <f>ROUND((MIN('[1]Puntos de control todos los dat'!H22,'[1]Puntos de control todos los dat'!H25,'[1]Puntos de control todos los dat'!H28)+MEDIAN('[1]Puntos de control todos los dat'!H22,'[1]Puntos de control todos los dat'!H25,'[1]Puntos de control todos los dat'!H28))/2,3)&amp;" - "&amp;ROUND((MEDIAN('[1]Puntos de control todos los dat'!H22,'[1]Puntos de control todos los dat'!H25,'[1]Puntos de control todos los dat'!H28)+MAX('[1]Puntos de control todos los dat'!H22,'[1]Puntos de control todos los dat'!H25,'[1]Puntos de control todos los dat'!H28))/2,3)</f>
        <v>70,35 - 93,415</v>
      </c>
      <c r="W46" s="39">
        <v>0.89492713108949273</v>
      </c>
      <c r="X46" s="39">
        <v>-0.16015787831570236</v>
      </c>
      <c r="Y46" s="39">
        <v>-10.507286891050727</v>
      </c>
      <c r="Z46" s="39">
        <v>-9.3966666666666612</v>
      </c>
      <c r="AA46" s="39">
        <v>-5.5449556442888293E-2</v>
      </c>
      <c r="AB46" s="9"/>
      <c r="AC46" s="1" t="s">
        <v>17</v>
      </c>
      <c r="AD46" s="1" t="s">
        <v>184</v>
      </c>
      <c r="AE46" s="9" t="str">
        <f>ROUND((3*MIN('[1]Puntos de control todos los dat'!H67,'[1]Puntos de control todos los dat'!H68)+MAX('[1]Puntos de control todos los dat'!H67,'[1]Puntos de control todos los dat'!H68))/4,3)&amp;" - "&amp;ROUND((MIN('[1]Puntos de control todos los dat'!H67,'[1]Puntos de control todos los dat'!H68)+3*MAX('[1]Puntos de control todos los dat'!H67,'[1]Puntos de control todos los dat'!H68))/4,3)</f>
        <v>187,843 - 329,048</v>
      </c>
      <c r="AF46" s="39">
        <v>0.57947959057836973</v>
      </c>
      <c r="AG46" s="39">
        <v>-0.7871702448547353</v>
      </c>
      <c r="AH46" s="39">
        <v>-42.052040942163025</v>
      </c>
      <c r="AI46" s="39">
        <v>-187.55</v>
      </c>
      <c r="AJ46" s="39">
        <v>-0.26623985009369144</v>
      </c>
      <c r="AK46" s="9"/>
      <c r="AL46" s="1"/>
      <c r="AM46" s="1"/>
      <c r="AN46" s="19" t="s">
        <v>48</v>
      </c>
      <c r="AO46" s="30" t="s">
        <v>22</v>
      </c>
      <c r="AP46" s="30" t="s">
        <v>23</v>
      </c>
      <c r="AQ46" s="1"/>
      <c r="AR46" s="1" t="s">
        <v>22</v>
      </c>
      <c r="AS46" s="1" t="s">
        <v>23</v>
      </c>
      <c r="AT46" s="1"/>
      <c r="AU46" s="1" t="s">
        <v>22</v>
      </c>
      <c r="AV46" s="1" t="s">
        <v>23</v>
      </c>
      <c r="AW46" s="1"/>
      <c r="AX46" s="1"/>
      <c r="AY46" s="1"/>
    </row>
    <row r="47" spans="1:51" x14ac:dyDescent="0.25">
      <c r="A47" s="3" t="s">
        <v>54</v>
      </c>
      <c r="B47" s="1" t="s">
        <v>15</v>
      </c>
      <c r="C47" s="1" t="s">
        <v>185</v>
      </c>
      <c r="D47" s="9" t="str">
        <f>ROUND((MIN('[1]Puntos de control todos los dat'!H29,'[1]Puntos de control todos los dat'!H32,'[1]Puntos de control todos los dat'!H35)+MEDIAN('[1]Puntos de control todos los dat'!H29,'[1]Puntos de control todos los dat'!H32,'[1]Puntos de control todos los dat'!H35))/2,3)&amp;" - "&amp;ROUND((MEDIAN('[1]Puntos de control todos los dat'!H29,'[1]Puntos de control todos los dat'!H32,'[1]Puntos de control todos los dat'!H35)+MAX('[1]Puntos de control todos los dat'!H29,'[1]Puntos de control todos los dat'!H32,'[1]Puntos de control todos los dat'!H35))/2,3)</f>
        <v>76,37 - 95,42</v>
      </c>
      <c r="E47" s="39">
        <v>1.2317668524088961</v>
      </c>
      <c r="F47" s="40">
        <v>0.30072921000643726</v>
      </c>
      <c r="G47" s="40">
        <v>23.176685240889604</v>
      </c>
      <c r="H47" s="40">
        <v>15.666666666666671</v>
      </c>
      <c r="I47" s="40">
        <v>0.10384904326306954</v>
      </c>
      <c r="J47" s="1"/>
      <c r="K47" s="1" t="s">
        <v>17</v>
      </c>
      <c r="L47" s="1" t="s">
        <v>186</v>
      </c>
      <c r="M47" s="9" t="str">
        <f>ROUND((3*MIN('[1]Puntos de control todos los dat'!H33,'[1]Puntos de control todos los dat'!H36)+MAX('[1]Puntos de control todos los dat'!H33,'[1]Puntos de control todos los dat'!H36))/4,3)&amp;" - "&amp;ROUND((MIN('[1]Puntos de control todos los dat'!H33,'[1]Puntos de control todos los dat'!H36)+3*MAX('[1]Puntos de control todos los dat'!H33,'[1]Puntos de control todos los dat'!H36))/4,3)</f>
        <v>54,273 - 76,278</v>
      </c>
      <c r="N47" s="39">
        <v>0.80493669845445581</v>
      </c>
      <c r="O47" s="39">
        <v>-0.3130527631094373</v>
      </c>
      <c r="P47" s="39">
        <v>-19.506330154554419</v>
      </c>
      <c r="Q47" s="39">
        <v>-15.818333333333328</v>
      </c>
      <c r="R47" s="39">
        <v>-0.10807210120586189</v>
      </c>
      <c r="S47" s="9"/>
      <c r="T47" s="1" t="s">
        <v>15</v>
      </c>
      <c r="U47" s="1" t="s">
        <v>187</v>
      </c>
      <c r="V47" s="9" t="str">
        <f>ROUND((MIN('[1]Puntos de control todos los dat'!H31,'[1]Puntos de control todos los dat'!H34,'[1]Puntos de control todos los dat'!H37)+MEDIAN('[1]Puntos de control todos los dat'!H31,'[1]Puntos de control todos los dat'!H34,'[1]Puntos de control todos los dat'!H37))/2,3)&amp;" - "&amp;ROUND((MEDIAN('[1]Puntos de control todos los dat'!H31,'[1]Puntos de control todos los dat'!H34,'[1]Puntos de control todos los dat'!H37)+MAX('[1]Puntos de control todos los dat'!H31,'[1]Puntos de control todos los dat'!H34,'[1]Puntos de control todos los dat'!H37))/2,3)</f>
        <v>85,28 - 88,52</v>
      </c>
      <c r="W47" s="39">
        <v>0.97584703119758454</v>
      </c>
      <c r="X47" s="39">
        <v>-3.5273078890862668E-2</v>
      </c>
      <c r="Y47" s="39">
        <v>-2.4152968802415464</v>
      </c>
      <c r="Z47" s="39">
        <v>-2.1600000000000108</v>
      </c>
      <c r="AA47" s="39">
        <v>-1.2224108658743696E-2</v>
      </c>
      <c r="AB47" s="9"/>
      <c r="AC47" s="1" t="s">
        <v>17</v>
      </c>
      <c r="AD47" s="1" t="s">
        <v>188</v>
      </c>
      <c r="AE47" s="9" t="str">
        <f>ROUND((3*MIN('[1]Puntos de control todos los dat'!H69,'[1]Puntos de control todos los dat'!H70)+MAX('[1]Puntos de control todos los dat'!H69,'[1]Puntos de control todos los dat'!H70))/4,3)&amp;" - "&amp;ROUND((MIN('[1]Puntos de control todos los dat'!H69,'[1]Puntos de control todos los dat'!H70)+3*MAX('[1]Puntos de control todos los dat'!H69,'[1]Puntos de control todos los dat'!H70))/4,3)</f>
        <v>71,048 - 101,123</v>
      </c>
      <c r="AF47" s="39">
        <v>0.19301785894460699</v>
      </c>
      <c r="AG47" s="39">
        <v>-2.3731937561047234</v>
      </c>
      <c r="AH47" s="39">
        <v>-80.698214105539307</v>
      </c>
      <c r="AI47" s="39">
        <v>-359.91</v>
      </c>
      <c r="AJ47" s="39">
        <v>-0.67642083897158323</v>
      </c>
      <c r="AK47" s="9"/>
      <c r="AL47" s="1"/>
      <c r="AM47" s="1"/>
      <c r="AN47" s="3" t="s">
        <v>54</v>
      </c>
      <c r="AO47" s="1" t="s">
        <v>96</v>
      </c>
      <c r="AP47" s="1" t="s">
        <v>13</v>
      </c>
      <c r="AQ47" s="1"/>
      <c r="AR47" s="1" t="s">
        <v>180</v>
      </c>
      <c r="AS47" s="1" t="s">
        <v>30</v>
      </c>
      <c r="AT47" s="1"/>
      <c r="AU47" s="1" t="s">
        <v>96</v>
      </c>
      <c r="AV47" s="1" t="s">
        <v>13</v>
      </c>
      <c r="AW47" s="1"/>
      <c r="AX47" s="1"/>
      <c r="AY47" s="1"/>
    </row>
    <row r="48" spans="1:51" x14ac:dyDescent="0.25">
      <c r="A48" s="3" t="s">
        <v>59</v>
      </c>
      <c r="B48" s="1" t="s">
        <v>17</v>
      </c>
      <c r="C48" s="1" t="s">
        <v>189</v>
      </c>
      <c r="D48" s="9" t="str">
        <f>ROUND((3*MIN('[1]Puntos de control todos los dat'!H47,'[1]Puntos de control todos los dat'!H50)+MAX('[1]Puntos de control todos los dat'!H47,'[1]Puntos de control todos los dat'!H50))/4,3)&amp;" - "&amp;ROUND((MIN('[1]Puntos de control todos los dat'!H47,'[1]Puntos de control todos los dat'!H50)+3*MAX('[1]Puntos de control todos los dat'!H47,'[1]Puntos de control todos los dat'!H50))/4,3)</f>
        <v>247,98 - 406,58</v>
      </c>
      <c r="E48" s="39">
        <v>4.841658858918092</v>
      </c>
      <c r="F48" s="40">
        <v>2.275501431281195</v>
      </c>
      <c r="G48" s="40">
        <v>384.16588589180918</v>
      </c>
      <c r="H48" s="40">
        <v>259.68333333333328</v>
      </c>
      <c r="I48" s="40">
        <v>0.65763149675426069</v>
      </c>
      <c r="J48" s="1"/>
      <c r="K48" s="1" t="s">
        <v>17</v>
      </c>
      <c r="L48" s="1" t="s">
        <v>190</v>
      </c>
      <c r="M48" s="9" t="str">
        <f>ROUND((3*MIN('[1]Puntos de control todos los dat'!H48,'[1]Puntos de control todos los dat'!H51)+MAX('[1]Puntos de control todos los dat'!H48,'[1]Puntos de control todos los dat'!H51))/4,3)&amp;" - "&amp;ROUND((MIN('[1]Puntos de control todos los dat'!H48,'[1]Puntos de control todos los dat'!H51)+3*MAX('[1]Puntos de control todos los dat'!H48,'[1]Puntos de control todos los dat'!H51))/4,3)</f>
        <v>128,348 - 249,343</v>
      </c>
      <c r="N48" s="39">
        <v>2.3287364353830973</v>
      </c>
      <c r="O48" s="39">
        <v>1.2195473656617997</v>
      </c>
      <c r="P48" s="39">
        <v>132.87364353830972</v>
      </c>
      <c r="Q48" s="39">
        <v>107.75166666666664</v>
      </c>
      <c r="R48" s="39">
        <v>0.39917141569370779</v>
      </c>
      <c r="S48" s="9"/>
      <c r="T48" s="1" t="s">
        <v>72</v>
      </c>
      <c r="U48" s="1" t="s">
        <v>191</v>
      </c>
      <c r="V48" s="9" t="str">
        <f>ROUND('[1]Puntos de control todos los dat'!H52,3)&amp;" - "&amp;ROUND('[1]Puntos de control todos los dat'!H52,3)</f>
        <v>352,76 - 352,76</v>
      </c>
      <c r="W48" s="39" t="s">
        <v>731</v>
      </c>
      <c r="X48" s="39" t="s">
        <v>731</v>
      </c>
      <c r="Y48" s="39" t="s">
        <v>731</v>
      </c>
      <c r="Z48" s="39" t="s">
        <v>731</v>
      </c>
      <c r="AA48" s="39" t="s">
        <v>731</v>
      </c>
      <c r="AB48" s="9"/>
      <c r="AC48" s="1" t="s">
        <v>63</v>
      </c>
      <c r="AD48" s="1" t="s">
        <v>63</v>
      </c>
      <c r="AE48" s="9" t="s">
        <v>63</v>
      </c>
      <c r="AF48" s="39" t="s">
        <v>731</v>
      </c>
      <c r="AG48" s="39" t="s">
        <v>731</v>
      </c>
      <c r="AH48" s="39" t="s">
        <v>731</v>
      </c>
      <c r="AI48" s="39" t="s">
        <v>731</v>
      </c>
      <c r="AJ48" s="39" t="s">
        <v>731</v>
      </c>
      <c r="AK48" s="9"/>
      <c r="AL48" s="1"/>
      <c r="AM48" s="1"/>
      <c r="AN48" s="3" t="s">
        <v>59</v>
      </c>
      <c r="AO48" s="3" t="s">
        <v>63</v>
      </c>
      <c r="AP48" s="3" t="s">
        <v>63</v>
      </c>
      <c r="AQ48" s="3"/>
      <c r="AR48" s="3" t="s">
        <v>63</v>
      </c>
      <c r="AS48" s="3" t="s">
        <v>63</v>
      </c>
      <c r="AT48" s="3"/>
      <c r="AU48" s="3" t="s">
        <v>63</v>
      </c>
      <c r="AV48" s="3" t="s">
        <v>63</v>
      </c>
      <c r="AW48" s="1"/>
      <c r="AX48" s="1"/>
      <c r="AY48" s="1"/>
    </row>
    <row r="49" spans="1:51" x14ac:dyDescent="0.25">
      <c r="A49" s="3" t="s">
        <v>64</v>
      </c>
      <c r="B49" s="1" t="s">
        <v>17</v>
      </c>
      <c r="C49" s="1" t="s">
        <v>192</v>
      </c>
      <c r="D49" s="9" t="str">
        <f>ROUND((3*MIN('[1]Puntos de control todos los dat'!H53,'[1]Puntos de control todos los dat'!H56)+MAX('[1]Puntos de control todos los dat'!H53,'[1]Puntos de control todos los dat'!H56))/4,3)&amp;" - "&amp;ROUND((MIN('[1]Puntos de control todos los dat'!H53,'[1]Puntos de control todos los dat'!H56)+3*MAX('[1]Puntos de control todos los dat'!H53,'[1]Puntos de control todos los dat'!H56))/4,3)</f>
        <v>89,13 - 141,13</v>
      </c>
      <c r="E49" s="39">
        <v>1.7031904926278416</v>
      </c>
      <c r="F49" s="40">
        <v>0.76823980166367867</v>
      </c>
      <c r="G49" s="40">
        <v>70.319049262784162</v>
      </c>
      <c r="H49" s="40">
        <v>47.533333333333331</v>
      </c>
      <c r="I49" s="40">
        <v>0.26013353278120327</v>
      </c>
      <c r="J49" s="1"/>
      <c r="K49" s="1" t="s">
        <v>17</v>
      </c>
      <c r="L49" s="1" t="s">
        <v>193</v>
      </c>
      <c r="M49" s="9" t="str">
        <f>ROUND((3*MIN('[1]Puntos de control todos los dat'!H54,'[1]Puntos de control todos los dat'!H57)+MAX('[1]Puntos de control todos los dat'!H54,'[1]Puntos de control todos los dat'!H57))/4,3)&amp;" - "&amp;ROUND((MIN('[1]Puntos de control todos los dat'!H54,'[1]Puntos de control todos los dat'!H57)+3*MAX('[1]Puntos de control todos los dat'!H54,'[1]Puntos de control todos los dat'!H57))/4,3)</f>
        <v>84,06 - 94,9</v>
      </c>
      <c r="N49" s="39">
        <v>1.1034199276553764</v>
      </c>
      <c r="O49" s="39">
        <v>0.14198194074947712</v>
      </c>
      <c r="P49" s="39">
        <v>10.341992765537643</v>
      </c>
      <c r="Q49" s="39">
        <v>8.3866666666666561</v>
      </c>
      <c r="R49" s="39">
        <v>4.916751348393647E-2</v>
      </c>
      <c r="S49" s="9"/>
      <c r="T49" s="1" t="s">
        <v>17</v>
      </c>
      <c r="U49" s="1" t="s">
        <v>194</v>
      </c>
      <c r="V49" s="9" t="str">
        <f>ROUND((3*MIN('[1]Puntos de control todos los dat'!H55,'[1]Puntos de control todos los dat'!H58)+MAX('[1]Puntos de control todos los dat'!H55,'[1]Puntos de control todos los dat'!H58))/4,3)&amp;" - "&amp;ROUND((MIN('[1]Puntos de control todos los dat'!H55,'[1]Puntos de control todos los dat'!H58)+3*MAX('[1]Puntos de control todos los dat'!H55,'[1]Puntos de control todos los dat'!H58))/4,3)</f>
        <v>424,488 - 1096,703</v>
      </c>
      <c r="W49" s="39">
        <v>8.5049200492004911</v>
      </c>
      <c r="X49" s="39">
        <v>3.0882976738470242</v>
      </c>
      <c r="Y49" s="39">
        <v>750.49200492004911</v>
      </c>
      <c r="Z49" s="39">
        <v>671.16499999999996</v>
      </c>
      <c r="AA49" s="39">
        <v>0.78958265933354888</v>
      </c>
      <c r="AB49" s="9"/>
      <c r="AC49" s="1" t="s">
        <v>63</v>
      </c>
      <c r="AD49" s="1" t="s">
        <v>63</v>
      </c>
      <c r="AE49" s="9" t="s">
        <v>63</v>
      </c>
      <c r="AF49" s="39" t="s">
        <v>731</v>
      </c>
      <c r="AG49" s="39" t="s">
        <v>731</v>
      </c>
      <c r="AH49" s="39" t="s">
        <v>731</v>
      </c>
      <c r="AI49" s="39" t="s">
        <v>731</v>
      </c>
      <c r="AJ49" s="39" t="s">
        <v>731</v>
      </c>
      <c r="AK49" s="9"/>
      <c r="AL49" s="1"/>
      <c r="AM49" s="1"/>
      <c r="AN49" s="3" t="s">
        <v>64</v>
      </c>
      <c r="AO49" s="3" t="s">
        <v>63</v>
      </c>
      <c r="AP49" s="3" t="s">
        <v>63</v>
      </c>
      <c r="AQ49" s="3"/>
      <c r="AR49" s="3" t="s">
        <v>63</v>
      </c>
      <c r="AS49" s="3" t="s">
        <v>63</v>
      </c>
      <c r="AT49" s="3"/>
      <c r="AU49" s="3" t="s">
        <v>63</v>
      </c>
      <c r="AV49" s="3" t="s">
        <v>63</v>
      </c>
      <c r="AW49" s="1"/>
      <c r="AX49" s="1"/>
      <c r="AY49" s="1"/>
    </row>
    <row r="50" spans="1:51" x14ac:dyDescent="0.25">
      <c r="A50" s="20" t="s">
        <v>195</v>
      </c>
      <c r="B50" s="1"/>
      <c r="C50" s="1"/>
      <c r="D50" s="9"/>
      <c r="E50" s="9"/>
      <c r="F50" s="1"/>
      <c r="G50" s="1"/>
      <c r="H50" s="1"/>
      <c r="I50" s="1"/>
      <c r="J50" s="1"/>
      <c r="K50" s="1"/>
      <c r="L50" s="1"/>
      <c r="M50" s="9"/>
      <c r="N50" s="9"/>
      <c r="O50" s="9"/>
      <c r="S50" s="9"/>
      <c r="T50" s="1"/>
      <c r="U50" s="1"/>
      <c r="V50" s="9"/>
      <c r="W50" s="9"/>
      <c r="X50" s="9"/>
      <c r="AB50" s="9"/>
      <c r="AC50" s="1"/>
      <c r="AD50" s="1"/>
      <c r="AE50" s="9"/>
      <c r="AF50" s="9"/>
      <c r="AG50" s="9"/>
      <c r="AK50" s="9"/>
      <c r="AL50" s="1"/>
      <c r="AM50" s="1"/>
      <c r="AN50" s="1" t="s">
        <v>195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3" t="s">
        <v>14</v>
      </c>
      <c r="B51" s="1" t="s">
        <v>15</v>
      </c>
      <c r="C51" s="1" t="s">
        <v>196</v>
      </c>
      <c r="D51" s="9" t="str">
        <f>ROUND((MIN('[1]Puntos de control todos los dat'!I38,'[1]Puntos de control todos los dat'!I41,'[1]Puntos de control todos los dat'!I44)+MEDIAN('[1]Puntos de control todos los dat'!I38,'[1]Puntos de control todos los dat'!I41,'[1]Puntos de control todos los dat'!I44))/2,3)&amp;" - "&amp;ROUND((MEDIAN('[1]Puntos de control todos los dat'!I38,'[1]Puntos de control todos los dat'!I41,'[1]Puntos de control todos los dat'!I44)+MAX('[1]Puntos de control todos los dat'!I38,'[1]Puntos de control todos los dat'!I41,'[1]Puntos de control todos los dat'!I44))/2,3)</f>
        <v>56,59 - 96,075</v>
      </c>
      <c r="E51" s="39">
        <v>1</v>
      </c>
      <c r="F51" s="40">
        <v>0</v>
      </c>
      <c r="G51" s="40">
        <v>0</v>
      </c>
      <c r="H51" s="40">
        <v>0</v>
      </c>
      <c r="I51" s="40">
        <v>0</v>
      </c>
      <c r="J51" s="1"/>
      <c r="K51" s="1" t="s">
        <v>15</v>
      </c>
      <c r="L51" s="1" t="s">
        <v>197</v>
      </c>
      <c r="M51" s="9" t="str">
        <f>ROUND((MIN('[1]Puntos de control todos los dat'!I39,'[1]Puntos de control todos los dat'!I42,'[1]Puntos de control todos los dat'!I45)+MEDIAN('[1]Puntos de control todos los dat'!I39,'[1]Puntos de control todos los dat'!I42,'[1]Puntos de control todos los dat'!I45))/2,3)&amp;" - "&amp;ROUND((MEDIAN('[1]Puntos de control todos los dat'!I39,'[1]Puntos de control todos los dat'!I42,'[1]Puntos de control todos los dat'!I45)+MAX('[1]Puntos de control todos los dat'!I39,'[1]Puntos de control todos los dat'!I42,'[1]Puntos de control todos los dat'!I45))/2,3)</f>
        <v>45,925 - 58,2</v>
      </c>
      <c r="N51" s="39">
        <v>1</v>
      </c>
      <c r="O51" s="39">
        <v>0</v>
      </c>
      <c r="P51" s="39">
        <v>0</v>
      </c>
      <c r="Q51" s="39">
        <v>0</v>
      </c>
      <c r="R51" s="39">
        <v>0</v>
      </c>
      <c r="S51" s="9"/>
      <c r="T51" s="1" t="s">
        <v>15</v>
      </c>
      <c r="U51" s="29" t="s">
        <v>198</v>
      </c>
      <c r="V51" s="9" t="str">
        <f>ROUND((MIN('[1]Puntos de control todos los dat'!I40,'[1]Puntos de control todos los dat'!I43,'[1]Puntos de control todos los dat'!I46)+MEDIAN('[1]Puntos de control todos los dat'!I40,'[1]Puntos de control todos los dat'!I43,'[1]Puntos de control todos los dat'!I46))/2,3)&amp;" - "&amp;ROUND((MEDIAN('[1]Puntos de control todos los dat'!I40,'[1]Puntos de control todos los dat'!I43,'[1]Puntos de control todos los dat'!I46)+MAX('[1]Puntos de control todos los dat'!I40,'[1]Puntos de control todos los dat'!I43,'[1]Puntos de control todos los dat'!I46))/2,3)</f>
        <v>46,375 - 47,5</v>
      </c>
      <c r="W51" s="39">
        <v>1</v>
      </c>
      <c r="X51" s="39">
        <v>0</v>
      </c>
      <c r="Y51" s="39">
        <v>0</v>
      </c>
      <c r="Z51" s="39">
        <v>0</v>
      </c>
      <c r="AA51" s="39">
        <v>0</v>
      </c>
      <c r="AB51" s="9"/>
      <c r="AC51" s="1" t="s">
        <v>17</v>
      </c>
      <c r="AD51" s="1" t="s">
        <v>199</v>
      </c>
      <c r="AE51" s="9" t="str">
        <f>ROUND((3*MIN('[1]Puntos de control todos los dat'!I59,'[1]Puntos de control todos los dat'!I60)+MAX('[1]Puntos de control todos los dat'!I59,'[1]Puntos de control todos los dat'!I60))/4,3)&amp;" - "&amp;ROUND((MIN('[1]Puntos de control todos los dat'!I59,'[1]Puntos de control todos los dat'!I60)+3*MAX('[1]Puntos de control todos los dat'!I59,'[1]Puntos de control todos los dat'!I60))/4,3)</f>
        <v>45,31 - 48,09</v>
      </c>
      <c r="AF51" s="39">
        <v>1</v>
      </c>
      <c r="AG51" s="39">
        <v>0</v>
      </c>
      <c r="AH51" s="39">
        <v>0</v>
      </c>
      <c r="AI51" s="39">
        <v>0</v>
      </c>
      <c r="AJ51" s="39">
        <v>0</v>
      </c>
      <c r="AK51" s="9"/>
      <c r="AL51" s="1"/>
      <c r="AM51" s="1"/>
      <c r="AN51" s="13" t="s">
        <v>14</v>
      </c>
      <c r="AO51" s="1" t="s">
        <v>200</v>
      </c>
      <c r="AP51" s="1" t="s">
        <v>21</v>
      </c>
      <c r="AQ51" s="1"/>
      <c r="AR51" s="27" t="s">
        <v>200</v>
      </c>
      <c r="AS51" s="27" t="s">
        <v>21</v>
      </c>
      <c r="AT51" s="1"/>
      <c r="AU51" s="1" t="s">
        <v>96</v>
      </c>
      <c r="AV51" s="1" t="s">
        <v>13</v>
      </c>
      <c r="AW51" s="1"/>
      <c r="AX51" s="1"/>
      <c r="AY51" s="1"/>
    </row>
    <row r="52" spans="1:51" x14ac:dyDescent="0.25">
      <c r="A52" s="3" t="s">
        <v>25</v>
      </c>
      <c r="B52" s="1" t="s">
        <v>15</v>
      </c>
      <c r="C52" s="1" t="s">
        <v>201</v>
      </c>
      <c r="D52" s="9" t="str">
        <f>ROUND((MIN('[1]Puntos de control todos los dat'!I71,'[1]Puntos de control todos los dat'!I74,'[1]Puntos de control todos los dat'!I77)+MEDIAN('[1]Puntos de control todos los dat'!I71,'[1]Puntos de control todos los dat'!I74,'[1]Puntos de control todos los dat'!I77))/2,3)&amp;" - "&amp;ROUND((MEDIAN('[1]Puntos de control todos los dat'!I71,'[1]Puntos de control todos los dat'!I74,'[1]Puntos de control todos los dat'!I77)+MAX('[1]Puntos de control todos los dat'!I71,'[1]Puntos de control todos los dat'!I74,'[1]Puntos de control todos los dat'!I77))/2,3)</f>
        <v>47,705 - 75,125</v>
      </c>
      <c r="E52" s="39">
        <v>0.83759162747341209</v>
      </c>
      <c r="F52" s="40">
        <v>-0.25568107365846721</v>
      </c>
      <c r="G52" s="40">
        <v>-16.240837252658793</v>
      </c>
      <c r="H52" s="40">
        <v>-12.776666666666671</v>
      </c>
      <c r="I52" s="40">
        <v>-8.8381101708593729E-2</v>
      </c>
      <c r="J52" s="1"/>
      <c r="K52" s="1" t="s">
        <v>15</v>
      </c>
      <c r="L52" s="1" t="s">
        <v>202</v>
      </c>
      <c r="M52" s="9" t="str">
        <f>ROUND((MIN('[1]Puntos de control todos los dat'!I72,'[1]Puntos de control todos los dat'!I75,'[1]Puntos de control todos los dat'!I78)+MEDIAN('[1]Puntos de control todos los dat'!I72,'[1]Puntos de control todos los dat'!I75,'[1]Puntos de control todos los dat'!I78))/2,3)&amp;" - "&amp;ROUND((MEDIAN('[1]Puntos de control todos los dat'!I72,'[1]Puntos de control todos los dat'!I75,'[1]Puntos de control todos los dat'!I78)+MAX('[1]Puntos de control todos los dat'!I72,'[1]Puntos de control todos los dat'!I75,'[1]Puntos de control todos los dat'!I78))/2,3)</f>
        <v>44,345 - 46,72</v>
      </c>
      <c r="N52" s="39">
        <v>0.84064408661854528</v>
      </c>
      <c r="O52" s="39">
        <v>-0.25043297592054431</v>
      </c>
      <c r="P52" s="39">
        <v>-15.935591338145471</v>
      </c>
      <c r="Q52" s="39">
        <v>-8.61</v>
      </c>
      <c r="R52" s="39">
        <v>-8.6576168929110103E-2</v>
      </c>
      <c r="S52" s="9"/>
      <c r="T52" s="1" t="s">
        <v>15</v>
      </c>
      <c r="U52" s="1" t="s">
        <v>203</v>
      </c>
      <c r="V52" s="9" t="str">
        <f>ROUND((MIN('[1]Puntos de control todos los dat'!I73,'[1]Puntos de control todos los dat'!I76,'[1]Puntos de control todos los dat'!I79)+MEDIAN('[1]Puntos de control todos los dat'!I73,'[1]Puntos de control todos los dat'!I76,'[1]Puntos de control todos los dat'!I79))/2,3)&amp;" - "&amp;ROUND((MEDIAN('[1]Puntos de control todos los dat'!I73,'[1]Puntos de control todos los dat'!I76,'[1]Puntos de control todos los dat'!I79)+MAX('[1]Puntos de control todos los dat'!I73,'[1]Puntos de control todos los dat'!I76,'[1]Puntos de control todos los dat'!I79))/2,3)</f>
        <v>45,355 - 59,83</v>
      </c>
      <c r="W52" s="39">
        <v>1.1731549355917728</v>
      </c>
      <c r="X52" s="39">
        <v>0.23039355901781192</v>
      </c>
      <c r="Y52" s="39">
        <v>17.315493559177277</v>
      </c>
      <c r="Z52" s="39">
        <v>8.11</v>
      </c>
      <c r="AA52" s="39">
        <v>7.9679056820042574E-2</v>
      </c>
      <c r="AB52" s="9"/>
      <c r="AC52" s="1" t="s">
        <v>17</v>
      </c>
      <c r="AD52" s="1" t="s">
        <v>204</v>
      </c>
      <c r="AE52" s="9" t="str">
        <f>ROUND('[1]Puntos de control todos los dat'!I61,3)&amp;" - "&amp;ROUND('[1]Puntos de control todos los dat'!I61,3)</f>
        <v>98,64 - 98,64</v>
      </c>
      <c r="AF52" s="39" t="s">
        <v>731</v>
      </c>
      <c r="AG52" s="39" t="s">
        <v>731</v>
      </c>
      <c r="AH52" s="39" t="s">
        <v>731</v>
      </c>
      <c r="AI52" s="39" t="s">
        <v>731</v>
      </c>
      <c r="AJ52" s="39" t="s">
        <v>731</v>
      </c>
      <c r="AK52" s="9"/>
      <c r="AL52" s="1"/>
      <c r="AM52" s="1"/>
      <c r="AN52" s="19" t="s">
        <v>25</v>
      </c>
      <c r="AO52" s="31" t="s">
        <v>205</v>
      </c>
      <c r="AP52" s="1" t="s">
        <v>21</v>
      </c>
      <c r="AQ52" s="1"/>
      <c r="AR52" s="30" t="s">
        <v>74</v>
      </c>
      <c r="AS52" s="30" t="s">
        <v>40</v>
      </c>
      <c r="AT52" s="1"/>
      <c r="AU52" s="1" t="s">
        <v>74</v>
      </c>
      <c r="AV52" s="1" t="s">
        <v>40</v>
      </c>
      <c r="AW52" s="1"/>
      <c r="AX52" s="1"/>
      <c r="AY52" s="1"/>
    </row>
    <row r="53" spans="1:51" x14ac:dyDescent="0.25">
      <c r="A53" s="3" t="s">
        <v>35</v>
      </c>
      <c r="B53" s="1" t="s">
        <v>15</v>
      </c>
      <c r="C53" s="1" t="s">
        <v>206</v>
      </c>
      <c r="D53" s="9" t="str">
        <f>ROUND((MIN('[1]Puntos de control todos los dat'!I2,'[1]Puntos de control todos los dat'!I5,'[1]Puntos de control todos los dat'!I8)+MEDIAN('[1]Puntos de control todos los dat'!I2,'[1]Puntos de control todos los dat'!I5,'[1]Puntos de control todos los dat'!I8))/2,3)&amp;" - "&amp;ROUND((MEDIAN('[1]Puntos de control todos los dat'!I2,'[1]Puntos de control todos los dat'!I5,'[1]Puntos de control todos los dat'!I8)+MAX('[1]Puntos de control todos los dat'!I2,'[1]Puntos de control todos los dat'!I5,'[1]Puntos de control todos los dat'!I8))/2,3)</f>
        <v>43,31 - 45,635</v>
      </c>
      <c r="E53" s="39">
        <v>0.56226431083428663</v>
      </c>
      <c r="F53" s="40">
        <v>-0.83067961872969598</v>
      </c>
      <c r="G53" s="40">
        <v>-43.773568916571335</v>
      </c>
      <c r="H53" s="40">
        <v>-34.436666666666675</v>
      </c>
      <c r="I53" s="40">
        <v>-0.28019310569282097</v>
      </c>
      <c r="J53" s="1"/>
      <c r="K53" s="1" t="s">
        <v>15</v>
      </c>
      <c r="L53" s="1" t="s">
        <v>207</v>
      </c>
      <c r="M53" s="9" t="str">
        <f>ROUND((MIN('[1]Puntos de control todos los dat'!I3,'[1]Puntos de control todos los dat'!I6,'[1]Puntos de control todos los dat'!I9)+MEDIAN('[1]Puntos de control todos los dat'!I3,'[1]Puntos de control todos los dat'!I6,'[1]Puntos de control todos los dat'!I9))/2,3)&amp;" - "&amp;ROUND((MEDIAN('[1]Puntos de control todos los dat'!I3,'[1]Puntos de control todos los dat'!I6,'[1]Puntos de control todos los dat'!I9)+MAX('[1]Puntos de control todos los dat'!I3,'[1]Puntos de control todos los dat'!I6,'[1]Puntos de control todos los dat'!I9))/2,3)</f>
        <v>45,35 - 62,945</v>
      </c>
      <c r="N53" s="39">
        <v>1.0545376025664754</v>
      </c>
      <c r="O53" s="39">
        <v>7.6610539483396481E-2</v>
      </c>
      <c r="P53" s="39">
        <v>5.453760256647544</v>
      </c>
      <c r="Q53" s="39">
        <v>2.9466666666666725</v>
      </c>
      <c r="R53" s="39">
        <v>2.6544952255119866E-2</v>
      </c>
      <c r="S53" s="9"/>
      <c r="T53" s="1" t="s">
        <v>15</v>
      </c>
      <c r="U53" s="1" t="s">
        <v>208</v>
      </c>
      <c r="V53" s="9" t="str">
        <f>ROUND((MIN('[1]Puntos de control todos los dat'!I4,'[1]Puntos de control todos los dat'!I7,'[1]Puntos de control todos los dat'!I10)+MEDIAN('[1]Puntos de control todos los dat'!I4,'[1]Puntos de control todos los dat'!I7,'[1]Puntos de control todos los dat'!I10))/2,3)&amp;" - "&amp;ROUND((MEDIAN('[1]Puntos de control todos los dat'!I4,'[1]Puntos de control todos los dat'!I7,'[1]Puntos de control todos los dat'!I10)+MAX('[1]Puntos de control todos los dat'!I4,'[1]Puntos de control todos los dat'!I7,'[1]Puntos de control todos los dat'!I10))/2,3)</f>
        <v>45,58 - 57,08</v>
      </c>
      <c r="W53" s="39">
        <v>1.123763433207601</v>
      </c>
      <c r="X53" s="39">
        <v>0.16833836148491199</v>
      </c>
      <c r="Y53" s="39">
        <v>12.376343320760096</v>
      </c>
      <c r="Z53" s="39">
        <v>5.7966666666666669</v>
      </c>
      <c r="AA53" s="39">
        <v>5.82755269595523E-2</v>
      </c>
      <c r="AB53" s="9"/>
      <c r="AC53" s="1" t="s">
        <v>17</v>
      </c>
      <c r="AD53" s="1" t="s">
        <v>209</v>
      </c>
      <c r="AE53" s="9" t="str">
        <f>ROUND((3*MIN('[1]Puntos de control todos los dat'!I63,'[1]Puntos de control todos los dat'!I64)+MAX('[1]Puntos de control todos los dat'!I63,'[1]Puntos de control todos los dat'!I64))/4,3)&amp;" - "&amp;ROUND((MIN('[1]Puntos de control todos los dat'!I63,'[1]Puntos de control todos los dat'!I64)+3*MAX('[1]Puntos de control todos los dat'!I63,'[1]Puntos de control todos los dat'!I64))/4,3)</f>
        <v>41,528 - 46,403</v>
      </c>
      <c r="AF53" s="39">
        <v>0.94143468950749465</v>
      </c>
      <c r="AG53" s="39">
        <v>-8.7067081186326653E-2</v>
      </c>
      <c r="AH53" s="39">
        <v>-5.8565310492505347</v>
      </c>
      <c r="AI53" s="39">
        <v>-2.7349999999999994</v>
      </c>
      <c r="AJ53" s="39">
        <v>-3.016599569845033E-2</v>
      </c>
      <c r="AK53" s="9"/>
      <c r="AL53" s="1"/>
      <c r="AM53" s="1"/>
      <c r="AN53" s="13" t="s">
        <v>35</v>
      </c>
      <c r="AO53" s="1" t="s">
        <v>96</v>
      </c>
      <c r="AP53" s="1" t="s">
        <v>13</v>
      </c>
      <c r="AQ53" s="1"/>
      <c r="AR53" s="27" t="s">
        <v>200</v>
      </c>
      <c r="AS53" s="27" t="s">
        <v>21</v>
      </c>
      <c r="AT53" s="1"/>
      <c r="AU53" s="1" t="s">
        <v>200</v>
      </c>
      <c r="AV53" s="1" t="s">
        <v>21</v>
      </c>
      <c r="AW53" s="1"/>
      <c r="AX53" s="1"/>
      <c r="AY53" s="1"/>
    </row>
    <row r="54" spans="1:51" x14ac:dyDescent="0.25">
      <c r="A54" s="3" t="s">
        <v>42</v>
      </c>
      <c r="B54" s="1" t="s">
        <v>15</v>
      </c>
      <c r="C54" s="1" t="s">
        <v>210</v>
      </c>
      <c r="D54" s="9" t="str">
        <f>ROUND((MIN('[1]Puntos de control todos los dat'!I11,'[1]Puntos de control todos los dat'!I14,'[1]Puntos de control todos los dat'!I17)+MEDIAN('[1]Puntos de control todos los dat'!I11,'[1]Puntos de control todos los dat'!I14,'[1]Puntos de control todos los dat'!I17))/2,3)&amp;" - "&amp;ROUND((MEDIAN('[1]Puntos de control todos los dat'!I11,'[1]Puntos de control todos los dat'!I14,'[1]Puntos de control todos los dat'!I17)+MAX('[1]Puntos de control todos los dat'!I11,'[1]Puntos de control todos los dat'!I14,'[1]Puntos de control todos los dat'!I17))/2,3)</f>
        <v>44,985 - 68,56</v>
      </c>
      <c r="E54" s="39">
        <v>0.7636117113681623</v>
      </c>
      <c r="F54" s="40">
        <v>-0.38908886563529144</v>
      </c>
      <c r="G54" s="40">
        <v>-23.638828863183768</v>
      </c>
      <c r="H54" s="40">
        <v>-18.596666666666671</v>
      </c>
      <c r="I54" s="40">
        <v>-0.1340364702207914</v>
      </c>
      <c r="J54" s="1"/>
      <c r="K54" s="1" t="s">
        <v>15</v>
      </c>
      <c r="L54" s="1" t="s">
        <v>211</v>
      </c>
      <c r="M54" s="9" t="str">
        <f>ROUND((MIN('[1]Puntos de control todos los dat'!I12,'[1]Puntos de control todos los dat'!I15,'[1]Puntos de control todos los dat'!I18)+MEDIAN('[1]Puntos de control todos los dat'!I12,'[1]Puntos de control todos los dat'!I15,'[1]Puntos de control todos los dat'!I18))/2,3)&amp;" - "&amp;ROUND((MEDIAN('[1]Puntos de control todos los dat'!I12,'[1]Puntos de control todos los dat'!I15,'[1]Puntos de control todos los dat'!I18)+MAX('[1]Puntos de control todos los dat'!I12,'[1]Puntos de control todos los dat'!I15,'[1]Puntos de control todos los dat'!I18))/2,3)</f>
        <v>42,955 - 67,58</v>
      </c>
      <c r="N54" s="39">
        <v>1.0955024986118824</v>
      </c>
      <c r="O54" s="39">
        <v>0.13159277481728288</v>
      </c>
      <c r="P54" s="39">
        <v>9.5502498611882416</v>
      </c>
      <c r="Q54" s="39">
        <v>5.1600000000000037</v>
      </c>
      <c r="R54" s="39">
        <v>4.5574986751457373E-2</v>
      </c>
      <c r="S54" s="9"/>
      <c r="T54" s="1" t="s">
        <v>15</v>
      </c>
      <c r="U54" s="1" t="s">
        <v>212</v>
      </c>
      <c r="V54" s="9" t="str">
        <f>ROUND((MIN('[1]Puntos de control todos los dat'!I13,'[1]Puntos de control todos los dat'!I16,'[1]Puntos de control todos los dat'!I19)+MEDIAN('[1]Puntos de control todos los dat'!I13,'[1]Puntos de control todos los dat'!I16,'[1]Puntos de control todos los dat'!I19))/2,3)&amp;" - "&amp;ROUND((MEDIAN('[1]Puntos de control todos los dat'!I13,'[1]Puntos de control todos los dat'!I16,'[1]Puntos de control todos los dat'!I19)+MAX('[1]Puntos de control todos los dat'!I13,'[1]Puntos de control todos los dat'!I16,'[1]Puntos de control todos los dat'!I19))/2,3)</f>
        <v>45,52 - 57,94</v>
      </c>
      <c r="W54" s="39">
        <v>1.143477332574194</v>
      </c>
      <c r="X54" s="39">
        <v>0.1934277671427386</v>
      </c>
      <c r="Y54" s="39">
        <v>14.347733257419403</v>
      </c>
      <c r="Z54" s="39">
        <v>6.7199999999999989</v>
      </c>
      <c r="AA54" s="39">
        <v>6.6936715585364223E-2</v>
      </c>
      <c r="AB54" s="9"/>
      <c r="AC54" s="1" t="s">
        <v>17</v>
      </c>
      <c r="AD54" s="1" t="s">
        <v>213</v>
      </c>
      <c r="AE54" s="9" t="str">
        <f>ROUND('[1]Puntos de control todos los dat'!I65,3)&amp;" - "&amp;ROUND('[1]Puntos de control todos los dat'!I65,3)</f>
        <v>38,95 - 38,95</v>
      </c>
      <c r="AF54" s="39" t="s">
        <v>731</v>
      </c>
      <c r="AG54" s="39" t="s">
        <v>731</v>
      </c>
      <c r="AH54" s="39" t="s">
        <v>731</v>
      </c>
      <c r="AI54" s="39" t="s">
        <v>731</v>
      </c>
      <c r="AJ54" s="39" t="s">
        <v>731</v>
      </c>
      <c r="AK54" s="9"/>
      <c r="AL54" s="1"/>
      <c r="AM54" s="1"/>
      <c r="AN54" s="13" t="s">
        <v>42</v>
      </c>
      <c r="AO54" s="1" t="s">
        <v>123</v>
      </c>
      <c r="AP54" s="1" t="s">
        <v>40</v>
      </c>
      <c r="AQ54" s="1"/>
      <c r="AR54" s="27" t="s">
        <v>123</v>
      </c>
      <c r="AS54" s="27" t="s">
        <v>40</v>
      </c>
      <c r="AT54" s="1"/>
      <c r="AU54" s="1" t="s">
        <v>123</v>
      </c>
      <c r="AV54" s="1" t="s">
        <v>40</v>
      </c>
      <c r="AW54" s="1"/>
      <c r="AX54" s="1"/>
      <c r="AY54" s="1"/>
    </row>
    <row r="55" spans="1:51" x14ac:dyDescent="0.25">
      <c r="A55" s="3" t="s">
        <v>48</v>
      </c>
      <c r="B55" s="1" t="s">
        <v>15</v>
      </c>
      <c r="C55" s="1" t="s">
        <v>214</v>
      </c>
      <c r="D55" s="9" t="str">
        <f>ROUND((MIN('[1]Puntos de control todos los dat'!I20,'[1]Puntos de control todos los dat'!I23,'[1]Puntos de control todos los dat'!I26)+MEDIAN('[1]Puntos de control todos los dat'!I20,'[1]Puntos de control todos los dat'!I23,'[1]Puntos de control todos los dat'!I26))/2,3)&amp;" - "&amp;ROUND((MEDIAN('[1]Puntos de control todos los dat'!I20,'[1]Puntos de control todos los dat'!I23,'[1]Puntos de control todos los dat'!I26)+MAX('[1]Puntos de control todos los dat'!I20,'[1]Puntos de control todos los dat'!I23,'[1]Puntos de control todos los dat'!I26))/2,3)</f>
        <v>44,31 - 45,205</v>
      </c>
      <c r="E55" s="39">
        <v>0.56794203635439189</v>
      </c>
      <c r="F55" s="40">
        <v>-0.81618439778278018</v>
      </c>
      <c r="G55" s="40">
        <v>-43.205796364560811</v>
      </c>
      <c r="H55" s="40">
        <v>-33.989999999999995</v>
      </c>
      <c r="I55" s="40">
        <v>-0.27555735711390345</v>
      </c>
      <c r="J55" s="1"/>
      <c r="K55" s="1" t="s">
        <v>15</v>
      </c>
      <c r="L55" s="1" t="s">
        <v>215</v>
      </c>
      <c r="M55" s="9" t="str">
        <f>ROUND((MIN('[1]Puntos de control todos los dat'!I21,'[1]Puntos de control todos los dat'!I24,'[1]Puntos de control todos los dat'!I27)+MEDIAN('[1]Puntos de control todos los dat'!I21,'[1]Puntos de control todos los dat'!I24,'[1]Puntos de control todos los dat'!I27))/2,3)&amp;" - "&amp;ROUND((MEDIAN('[1]Puntos de control todos los dat'!I21,'[1]Puntos de control todos los dat'!I24,'[1]Puntos de control todos los dat'!I27)+MAX('[1]Puntos de control todos los dat'!I21,'[1]Puntos de control todos los dat'!I24,'[1]Puntos de control todos los dat'!I27))/2,3)</f>
        <v>56,9 - 81,925</v>
      </c>
      <c r="N55" s="39">
        <v>1.283731260410883</v>
      </c>
      <c r="O55" s="39">
        <v>0.36034321659440305</v>
      </c>
      <c r="P55" s="39">
        <v>28.373126041088305</v>
      </c>
      <c r="Q55" s="39">
        <v>15.330000000000005</v>
      </c>
      <c r="R55" s="39">
        <v>0.12424021395575012</v>
      </c>
      <c r="S55" s="9"/>
      <c r="T55" s="1" t="s">
        <v>15</v>
      </c>
      <c r="U55" s="1" t="s">
        <v>216</v>
      </c>
      <c r="V55" s="9" t="str">
        <f>ROUND((MIN('[1]Puntos de control todos los dat'!I22,'[1]Puntos de control todos los dat'!I25,'[1]Puntos de control todos los dat'!I28)+MEDIAN('[1]Puntos de control todos los dat'!I22,'[1]Puntos de control todos los dat'!I25,'[1]Puntos de control todos los dat'!I28))/2,3)&amp;" - "&amp;ROUND((MEDIAN('[1]Puntos de control todos los dat'!I22,'[1]Puntos de control todos los dat'!I25,'[1]Puntos de control todos los dat'!I28)+MAX('[1]Puntos de control todos los dat'!I22,'[1]Puntos de control todos los dat'!I25,'[1]Puntos de control todos los dat'!I28))/2,3)</f>
        <v>44,315 - 64,045</v>
      </c>
      <c r="W55" s="39">
        <v>1.2075297131876737</v>
      </c>
      <c r="X55" s="39">
        <v>0.27205868930212118</v>
      </c>
      <c r="Y55" s="39">
        <v>20.752971318767365</v>
      </c>
      <c r="Z55" s="39">
        <v>9.720000000000006</v>
      </c>
      <c r="AA55" s="39">
        <v>9.4009929718228177E-2</v>
      </c>
      <c r="AB55" s="9"/>
      <c r="AC55" s="1" t="s">
        <v>17</v>
      </c>
      <c r="AD55" s="1" t="s">
        <v>217</v>
      </c>
      <c r="AE55" s="9" t="str">
        <f>ROUND((3*MIN('[1]Puntos de control todos los dat'!I67,'[1]Puntos de control todos los dat'!I68)+MAX('[1]Puntos de control todos los dat'!I67,'[1]Puntos de control todos los dat'!I68))/4,3)&amp;" - "&amp;ROUND((MIN('[1]Puntos de control todos los dat'!I67,'[1]Puntos de control todos los dat'!I68)+3*MAX('[1]Puntos de control todos los dat'!I67,'[1]Puntos de control todos los dat'!I68))/4,3)</f>
        <v>55,715 - 65,865</v>
      </c>
      <c r="AF55" s="39">
        <v>1.3017130620985009</v>
      </c>
      <c r="AG55" s="39">
        <v>0.38041146884961685</v>
      </c>
      <c r="AH55" s="39">
        <v>30.171306209850091</v>
      </c>
      <c r="AI55" s="39">
        <v>14.089999999999996</v>
      </c>
      <c r="AJ55" s="39">
        <v>0.1310819611126616</v>
      </c>
      <c r="AK55" s="9"/>
      <c r="AL55" s="1"/>
      <c r="AM55" s="1"/>
      <c r="AN55" s="3" t="s">
        <v>48</v>
      </c>
      <c r="AO55" s="1" t="s">
        <v>22</v>
      </c>
      <c r="AP55" s="1" t="s">
        <v>23</v>
      </c>
      <c r="AQ55" s="1"/>
      <c r="AR55" s="32" t="s">
        <v>96</v>
      </c>
      <c r="AS55" s="32" t="s">
        <v>13</v>
      </c>
      <c r="AT55" s="1"/>
      <c r="AU55" s="1" t="s">
        <v>34</v>
      </c>
      <c r="AV55" s="1" t="s">
        <v>21</v>
      </c>
      <c r="AW55" s="1"/>
      <c r="AX55" s="1"/>
      <c r="AY55" s="1"/>
    </row>
    <row r="56" spans="1:51" x14ac:dyDescent="0.25">
      <c r="A56" s="3" t="s">
        <v>54</v>
      </c>
      <c r="B56" s="1" t="s">
        <v>15</v>
      </c>
      <c r="C56" s="1" t="s">
        <v>218</v>
      </c>
      <c r="D56" s="9" t="str">
        <f>ROUND((MIN('[1]Puntos de control todos los dat'!I29,'[1]Puntos de control todos los dat'!I32,'[1]Puntos de control todos los dat'!I35)+MEDIAN('[1]Puntos de control todos los dat'!I29,'[1]Puntos de control todos los dat'!I32,'[1]Puntos de control todos los dat'!I35))/2,3)&amp;" - "&amp;ROUND((MEDIAN('[1]Puntos de control todos los dat'!I29,'[1]Puntos de control todos los dat'!I32,'[1]Puntos de control todos los dat'!I35)+MAX('[1]Puntos de control todos los dat'!I29,'[1]Puntos de control todos los dat'!I32,'[1]Puntos de control todos los dat'!I35))/2,3)</f>
        <v>43,85 - 70,06</v>
      </c>
      <c r="E56" s="39">
        <v>0.77585695521376219</v>
      </c>
      <c r="F56" s="40">
        <v>-0.36613740771566206</v>
      </c>
      <c r="G56" s="40">
        <v>-22.41430447862378</v>
      </c>
      <c r="H56" s="40">
        <v>-17.633333333333333</v>
      </c>
      <c r="I56" s="40">
        <v>-0.12621683527390723</v>
      </c>
      <c r="J56" s="1"/>
      <c r="K56" s="1" t="s">
        <v>15</v>
      </c>
      <c r="L56" s="1" t="s">
        <v>219</v>
      </c>
      <c r="M56" s="9" t="str">
        <f>ROUND((MIN('[1]Puntos de control todos los dat'!I30,'[1]Puntos de control todos los dat'!I33,'[1]Puntos de control todos los dat'!I36)+MEDIAN('[1]Puntos de control todos los dat'!I30,'[1]Puntos de control todos los dat'!I33,'[1]Puntos de control todos los dat'!I36))/2,3)&amp;" - "&amp;ROUND((MEDIAN('[1]Puntos de control todos los dat'!I30,'[1]Puntos de control todos los dat'!I33,'[1]Puntos de control todos los dat'!I36)+MAX('[1]Puntos de control todos los dat'!I30,'[1]Puntos de control todos los dat'!I33,'[1]Puntos de control todos los dat'!I36))/2,3)</f>
        <v>43,45 - 76,98</v>
      </c>
      <c r="N56" s="39">
        <v>1.2032821272132768</v>
      </c>
      <c r="O56" s="39">
        <v>0.26697494327162391</v>
      </c>
      <c r="P56" s="39">
        <v>20.328212721327677</v>
      </c>
      <c r="Q56" s="39">
        <v>10.983333333333341</v>
      </c>
      <c r="R56" s="39">
        <v>9.2263321479573335E-2</v>
      </c>
      <c r="S56" s="9"/>
      <c r="T56" s="1" t="s">
        <v>15</v>
      </c>
      <c r="U56" s="1" t="s">
        <v>220</v>
      </c>
      <c r="V56" s="9" t="str">
        <f>ROUND((MIN('[1]Puntos de control todos los dat'!I31,'[1]Puntos de control todos los dat'!I34,'[1]Puntos de control todos los dat'!I37)+MEDIAN('[1]Puntos de control todos los dat'!I31,'[1]Puntos de control todos los dat'!I34,'[1]Puntos de control todos los dat'!I37))/2,3)&amp;" - "&amp;ROUND((MEDIAN('[1]Puntos de control todos los dat'!I31,'[1]Puntos de control todos los dat'!I34,'[1]Puntos de control todos los dat'!I37)+MAX('[1]Puntos de control todos los dat'!I31,'[1]Puntos de control todos los dat'!I34,'[1]Puntos de control todos los dat'!I37))/2,3)</f>
        <v>44,545 - 45,115</v>
      </c>
      <c r="W56" s="39">
        <v>0.95729841292434703</v>
      </c>
      <c r="X56" s="39">
        <v>-6.2959377346820986E-2</v>
      </c>
      <c r="Y56" s="39">
        <v>-4.2701587075652974</v>
      </c>
      <c r="Z56" s="39">
        <v>-2</v>
      </c>
      <c r="AA56" s="39">
        <v>-2.1816595156715874E-2</v>
      </c>
      <c r="AB56" s="9"/>
      <c r="AC56" s="1" t="s">
        <v>17</v>
      </c>
      <c r="AD56" s="1" t="s">
        <v>221</v>
      </c>
      <c r="AE56" s="9" t="str">
        <f>ROUND((3*MIN('[1]Puntos de control todos los dat'!I69,'[1]Puntos de control todos los dat'!I70)+MAX('[1]Puntos de control todos los dat'!I69,'[1]Puntos de control todos los dat'!I70))/4,3)&amp;" - "&amp;ROUND((MIN('[1]Puntos de control todos los dat'!I69,'[1]Puntos de control todos los dat'!I70)+3*MAX('[1]Puntos de control todos los dat'!I69,'[1]Puntos de control todos los dat'!I70))/4,3)</f>
        <v>47,915 - 49,985</v>
      </c>
      <c r="AF56" s="39">
        <v>1.0481798715203425</v>
      </c>
      <c r="AG56" s="39">
        <v>6.7886309894032992E-2</v>
      </c>
      <c r="AH56" s="39">
        <v>4.8179871520342532</v>
      </c>
      <c r="AI56" s="39">
        <v>2.25</v>
      </c>
      <c r="AJ56" s="39">
        <v>2.3523261892315732E-2</v>
      </c>
      <c r="AK56" s="9"/>
      <c r="AL56" s="1"/>
      <c r="AM56" s="1"/>
      <c r="AN56" s="3" t="s">
        <v>54</v>
      </c>
      <c r="AO56" s="1" t="s">
        <v>34</v>
      </c>
      <c r="AP56" s="1" t="s">
        <v>21</v>
      </c>
      <c r="AQ56" s="1"/>
      <c r="AR56" s="32" t="s">
        <v>34</v>
      </c>
      <c r="AS56" s="32" t="s">
        <v>21</v>
      </c>
      <c r="AT56" s="1"/>
      <c r="AU56" s="1" t="s">
        <v>22</v>
      </c>
      <c r="AV56" s="1" t="s">
        <v>23</v>
      </c>
      <c r="AW56" s="1"/>
      <c r="AX56" s="1"/>
      <c r="AY56" s="1"/>
    </row>
    <row r="57" spans="1:51" x14ac:dyDescent="0.25">
      <c r="A57" s="3" t="s">
        <v>59</v>
      </c>
      <c r="B57" s="1" t="s">
        <v>17</v>
      </c>
      <c r="C57" s="1" t="s">
        <v>222</v>
      </c>
      <c r="D57" s="9" t="str">
        <f>ROUND((3*MIN('[1]Puntos de control todos los dat'!I47,'[1]Puntos de control todos los dat'!I50)+MAX('[1]Puntos de control todos los dat'!I47,'[1]Puntos de control todos los dat'!I50))/4,3)&amp;" - "&amp;ROUND((MIN('[1]Puntos de control todos los dat'!I47,'[1]Puntos de control todos los dat'!I50)+3*MAX('[1]Puntos de control todos los dat'!I47,'[1]Puntos de control todos los dat'!I50))/4,3)</f>
        <v>47,938 - 56,953</v>
      </c>
      <c r="E57" s="39">
        <v>0.66664548112368116</v>
      </c>
      <c r="F57" s="40">
        <v>-0.58500834786633815</v>
      </c>
      <c r="G57" s="40">
        <v>-33.335451887631883</v>
      </c>
      <c r="H57" s="40">
        <v>-26.225000000000001</v>
      </c>
      <c r="I57" s="40">
        <v>-0.20001525378484536</v>
      </c>
      <c r="J57" s="1"/>
      <c r="K57" s="1" t="s">
        <v>17</v>
      </c>
      <c r="L57" s="1" t="s">
        <v>223</v>
      </c>
      <c r="M57" s="9" t="str">
        <f>ROUND((3*MIN('[1]Puntos de control todos los dat'!I48,'[1]Puntos de control todos los dat'!I51)+MAX('[1]Puntos de control todos los dat'!I48,'[1]Puntos de control todos los dat'!I51))/4,3)&amp;" - "&amp;ROUND((MIN('[1]Puntos de control todos los dat'!I48,'[1]Puntos de control todos los dat'!I51)+3*MAX('[1]Puntos de control todos los dat'!I48,'[1]Puntos de control todos los dat'!I51))/4,3)</f>
        <v>56,9 - 91,46</v>
      </c>
      <c r="N57" s="39">
        <v>1.3729409587266335</v>
      </c>
      <c r="O57" s="39">
        <v>0.45726958587557764</v>
      </c>
      <c r="P57" s="39">
        <v>37.294095872663348</v>
      </c>
      <c r="Q57" s="39">
        <v>20.149999999999999</v>
      </c>
      <c r="R57" s="39">
        <v>0.15716402776694488</v>
      </c>
      <c r="S57" s="9"/>
      <c r="T57" s="1" t="s">
        <v>17</v>
      </c>
      <c r="U57" s="1" t="s">
        <v>224</v>
      </c>
      <c r="V57" s="9" t="str">
        <f>ROUND((3*MIN('[1]Puntos de control todos los dat'!I49,'[1]Puntos de control todos los dat'!I52)+MAX('[1]Puntos de control todos los dat'!I49,'[1]Puntos de control todos los dat'!I52))/4,3)&amp;" - "&amp;ROUND((MIN('[1]Puntos de control todos los dat'!I49,'[1]Puntos de control todos los dat'!I52)+3*MAX('[1]Puntos de control todos los dat'!I49,'[1]Puntos de control todos los dat'!I52))/4,3)</f>
        <v>42,263 - 43,288</v>
      </c>
      <c r="W57" s="39">
        <v>0.91328019358052803</v>
      </c>
      <c r="X57" s="39">
        <v>-0.13087054916475557</v>
      </c>
      <c r="Y57" s="39">
        <v>-8.6719806419471972</v>
      </c>
      <c r="Z57" s="39">
        <v>-4.0616666666666674</v>
      </c>
      <c r="AA57" s="39">
        <v>-4.5325199471794975E-2</v>
      </c>
      <c r="AB57" s="9"/>
      <c r="AC57" s="1" t="s">
        <v>63</v>
      </c>
      <c r="AD57" s="1" t="s">
        <v>63</v>
      </c>
      <c r="AE57" s="9" t="s">
        <v>63</v>
      </c>
      <c r="AF57" s="39" t="s">
        <v>731</v>
      </c>
      <c r="AG57" s="39" t="s">
        <v>731</v>
      </c>
      <c r="AH57" s="39" t="s">
        <v>731</v>
      </c>
      <c r="AI57" s="39" t="s">
        <v>731</v>
      </c>
      <c r="AJ57" s="39" t="s">
        <v>731</v>
      </c>
      <c r="AK57" s="9"/>
      <c r="AL57" s="1"/>
      <c r="AM57" s="1"/>
      <c r="AN57" s="3" t="s">
        <v>59</v>
      </c>
      <c r="AO57" s="3" t="s">
        <v>63</v>
      </c>
      <c r="AP57" s="3" t="s">
        <v>63</v>
      </c>
      <c r="AQ57" s="3"/>
      <c r="AR57" s="15" t="s">
        <v>63</v>
      </c>
      <c r="AS57" s="15" t="s">
        <v>63</v>
      </c>
      <c r="AT57" s="3"/>
      <c r="AU57" s="3" t="s">
        <v>63</v>
      </c>
      <c r="AV57" s="3" t="s">
        <v>63</v>
      </c>
      <c r="AW57" s="1"/>
      <c r="AX57" s="1"/>
      <c r="AY57" s="1"/>
    </row>
    <row r="58" spans="1:51" x14ac:dyDescent="0.25">
      <c r="A58" s="3" t="s">
        <v>64</v>
      </c>
      <c r="B58" s="1" t="s">
        <v>17</v>
      </c>
      <c r="C58" s="1" t="s">
        <v>225</v>
      </c>
      <c r="D58" s="9" t="str">
        <f>ROUND((3*MIN('[1]Puntos de control todos los dat'!I53,'[1]Puntos de control todos los dat'!I56)+MAX('[1]Puntos de control todos los dat'!I53,'[1]Puntos de control todos los dat'!I56))/4,3)&amp;" - "&amp;ROUND((MIN('[1]Puntos de control todos los dat'!I53,'[1]Puntos de control todos los dat'!I56)+3*MAX('[1]Puntos de control todos los dat'!I53,'[1]Puntos de control todos los dat'!I56))/4,3)</f>
        <v>49,308 - 58,683</v>
      </c>
      <c r="E58" s="39">
        <v>0.68634803610016515</v>
      </c>
      <c r="F58" s="40">
        <v>-0.5429877653868328</v>
      </c>
      <c r="G58" s="40">
        <v>-31.365196389983485</v>
      </c>
      <c r="H58" s="40">
        <v>-24.675000000000004</v>
      </c>
      <c r="I58" s="40">
        <v>-0.18599479892963483</v>
      </c>
      <c r="J58" s="1"/>
      <c r="K58" s="1" t="s">
        <v>17</v>
      </c>
      <c r="L58" s="1" t="s">
        <v>226</v>
      </c>
      <c r="M58" s="9" t="str">
        <f>ROUND((3*MIN('[1]Puntos de control todos los dat'!I54,'[1]Puntos de control todos los dat'!I57)+MAX('[1]Puntos de control todos los dat'!I54,'[1]Puntos de control todos los dat'!I57))/4,3)&amp;" - "&amp;ROUND((MIN('[1]Puntos de control todos los dat'!I54,'[1]Puntos de control todos los dat'!I57)+3*MAX('[1]Puntos de control todos los dat'!I54,'[1]Puntos de control todos los dat'!I57))/4,3)</f>
        <v>44,94 - 45,52</v>
      </c>
      <c r="N58" s="39">
        <v>0.83712752174717764</v>
      </c>
      <c r="O58" s="39">
        <v>-0.25648068599602075</v>
      </c>
      <c r="P58" s="39">
        <v>-16.287247825282236</v>
      </c>
      <c r="Q58" s="39">
        <v>-8.7999999999999901</v>
      </c>
      <c r="R58" s="39">
        <v>-8.865605480556106E-2</v>
      </c>
      <c r="S58" s="9"/>
      <c r="T58" s="1" t="s">
        <v>17</v>
      </c>
      <c r="U58" s="1" t="s">
        <v>227</v>
      </c>
      <c r="V58" s="9" t="str">
        <f>ROUND((3*MIN('[1]Puntos de control todos los dat'!I55,'[1]Puntos de control todos los dat'!I58)+MAX('[1]Puntos de control todos los dat'!I55,'[1]Puntos de control todos los dat'!I58))/4,3)&amp;" - "&amp;ROUND((MIN('[1]Puntos de control todos los dat'!I55,'[1]Puntos de control todos los dat'!I58)+3*MAX('[1]Puntos de control todos los dat'!I55,'[1]Puntos de control todos los dat'!I58))/4,3)</f>
        <v>41,355 - 42,345</v>
      </c>
      <c r="W58" s="39">
        <v>0.89353070955803859</v>
      </c>
      <c r="X58" s="39">
        <v>-0.16241078110382509</v>
      </c>
      <c r="Y58" s="39">
        <v>-10.64692904419614</v>
      </c>
      <c r="Z58" s="39">
        <v>-4.9866666666666646</v>
      </c>
      <c r="AA58" s="39">
        <v>-5.6227918514620737E-2</v>
      </c>
      <c r="AB58" s="9"/>
      <c r="AC58" s="1" t="s">
        <v>63</v>
      </c>
      <c r="AD58" s="1" t="s">
        <v>63</v>
      </c>
      <c r="AE58" s="9" t="s">
        <v>63</v>
      </c>
      <c r="AF58" s="39" t="s">
        <v>731</v>
      </c>
      <c r="AG58" s="39" t="s">
        <v>731</v>
      </c>
      <c r="AH58" s="39" t="s">
        <v>731</v>
      </c>
      <c r="AI58" s="39" t="s">
        <v>731</v>
      </c>
      <c r="AJ58" s="39" t="s">
        <v>731</v>
      </c>
      <c r="AK58" s="9"/>
      <c r="AL58" s="1"/>
      <c r="AM58" s="1"/>
      <c r="AN58" s="3" t="s">
        <v>64</v>
      </c>
      <c r="AO58" s="3" t="s">
        <v>63</v>
      </c>
      <c r="AP58" s="3" t="s">
        <v>63</v>
      </c>
      <c r="AQ58" s="3"/>
      <c r="AR58" s="15" t="s">
        <v>63</v>
      </c>
      <c r="AS58" s="15" t="s">
        <v>63</v>
      </c>
      <c r="AT58" s="3"/>
      <c r="AU58" s="3" t="s">
        <v>63</v>
      </c>
      <c r="AV58" s="3" t="s">
        <v>63</v>
      </c>
      <c r="AW58" s="1"/>
      <c r="AX58" s="1"/>
      <c r="AY58" s="1"/>
    </row>
    <row r="59" spans="1:51" x14ac:dyDescent="0.25">
      <c r="A59" s="20" t="s">
        <v>228</v>
      </c>
      <c r="B59" s="1"/>
      <c r="C59" s="1"/>
      <c r="D59" s="9"/>
      <c r="E59" s="9"/>
      <c r="F59" s="1"/>
      <c r="G59" s="1"/>
      <c r="H59" s="1"/>
      <c r="I59" s="1"/>
      <c r="J59" s="1"/>
      <c r="K59" s="1"/>
      <c r="L59" s="1"/>
      <c r="M59" s="9"/>
      <c r="N59" s="9"/>
      <c r="O59" s="9"/>
      <c r="S59" s="9"/>
      <c r="T59" s="1"/>
      <c r="U59" s="1"/>
      <c r="V59" s="9"/>
      <c r="W59" s="9"/>
      <c r="X59" s="9"/>
      <c r="AB59" s="9"/>
      <c r="AC59" s="1"/>
      <c r="AD59" s="1"/>
      <c r="AE59" s="9"/>
      <c r="AF59" s="9"/>
      <c r="AG59" s="9"/>
      <c r="AK59" s="9"/>
      <c r="AL59" s="1"/>
      <c r="AM59" s="1"/>
      <c r="AN59" s="1" t="s">
        <v>228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3" t="s">
        <v>14</v>
      </c>
      <c r="B60" s="1" t="s">
        <v>15</v>
      </c>
      <c r="C60" s="1" t="s">
        <v>229</v>
      </c>
      <c r="D60" s="9" t="str">
        <f>ROUND((MIN('[1]Puntos de control todos los dat'!J38,'[1]Puntos de control todos los dat'!J41,'[1]Puntos de control todos los dat'!J44)+MEDIAN('[1]Puntos de control todos los dat'!J38,'[1]Puntos de control todos los dat'!J41,'[1]Puntos de control todos los dat'!J44))/2,3)&amp;" - "&amp;ROUND((MEDIAN('[1]Puntos de control todos los dat'!J38,'[1]Puntos de control todos los dat'!J41,'[1]Puntos de control todos los dat'!J44)+MAX('[1]Puntos de control todos los dat'!J38,'[1]Puntos de control todos los dat'!J41,'[1]Puntos de control todos los dat'!J44))/2,3)</f>
        <v>19,57 - 26,19</v>
      </c>
      <c r="E60" s="39">
        <v>1</v>
      </c>
      <c r="F60" s="40">
        <v>0</v>
      </c>
      <c r="G60" s="40">
        <v>0</v>
      </c>
      <c r="H60" s="40">
        <v>0</v>
      </c>
      <c r="I60" s="40">
        <v>0</v>
      </c>
      <c r="J60" s="1"/>
      <c r="K60" s="1" t="s">
        <v>15</v>
      </c>
      <c r="L60" s="1" t="s">
        <v>230</v>
      </c>
      <c r="M60" s="9" t="str">
        <f>ROUND((MIN('[1]Puntos de control todos los dat'!J39,'[1]Puntos de control todos los dat'!J42,'[1]Puntos de control todos los dat'!J45)+MEDIAN('[1]Puntos de control todos los dat'!J39,'[1]Puntos de control todos los dat'!J42,'[1]Puntos de control todos los dat'!J45))/2,3)&amp;" - "&amp;ROUND((MEDIAN('[1]Puntos de control todos los dat'!J39,'[1]Puntos de control todos los dat'!J42,'[1]Puntos de control todos los dat'!J45)+MAX('[1]Puntos de control todos los dat'!J39,'[1]Puntos de control todos los dat'!J42,'[1]Puntos de control todos los dat'!J45))/2,3)</f>
        <v>22,78 - 27,29</v>
      </c>
      <c r="N60" s="39">
        <v>1</v>
      </c>
      <c r="O60" s="39">
        <v>0</v>
      </c>
      <c r="P60" s="39">
        <v>0</v>
      </c>
      <c r="Q60" s="39">
        <v>0</v>
      </c>
      <c r="R60" s="39">
        <v>0</v>
      </c>
      <c r="S60" s="9"/>
      <c r="T60" s="1" t="s">
        <v>15</v>
      </c>
      <c r="U60" s="1" t="s">
        <v>231</v>
      </c>
      <c r="V60" s="9" t="str">
        <f>ROUND((MIN('[1]Puntos de control todos los dat'!J40,'[1]Puntos de control todos los dat'!J43,'[1]Puntos de control todos los dat'!J46)+MEDIAN('[1]Puntos de control todos los dat'!J40,'[1]Puntos de control todos los dat'!J43,'[1]Puntos de control todos los dat'!J46))/2,3)&amp;" - "&amp;ROUND((MEDIAN('[1]Puntos de control todos los dat'!J40,'[1]Puntos de control todos los dat'!J43,'[1]Puntos de control todos los dat'!J46)+MAX('[1]Puntos de control todos los dat'!J40,'[1]Puntos de control todos los dat'!J43,'[1]Puntos de control todos los dat'!J46))/2,3)</f>
        <v>24,855 - 27,775</v>
      </c>
      <c r="W60" s="39">
        <v>1</v>
      </c>
      <c r="X60" s="39">
        <v>0</v>
      </c>
      <c r="Y60" s="39">
        <v>0</v>
      </c>
      <c r="Z60" s="39">
        <v>0</v>
      </c>
      <c r="AA60" s="39">
        <v>0</v>
      </c>
      <c r="AB60" s="9"/>
      <c r="AC60" s="1" t="s">
        <v>72</v>
      </c>
      <c r="AD60" s="1" t="s">
        <v>232</v>
      </c>
      <c r="AE60" s="9" t="str">
        <f>ROUND('[1]Puntos de control todos los dat'!J59,3)&amp;" - "&amp;ROUND('[1]Puntos de control todos los dat'!J59,3)</f>
        <v>17,93 - 17,93</v>
      </c>
      <c r="AF60" s="39">
        <v>1</v>
      </c>
      <c r="AG60" s="39">
        <v>0</v>
      </c>
      <c r="AH60" s="39">
        <v>0</v>
      </c>
      <c r="AI60" s="39">
        <v>0</v>
      </c>
      <c r="AJ60" s="39">
        <v>0</v>
      </c>
      <c r="AK60" s="9"/>
      <c r="AL60" s="1"/>
      <c r="AM60" s="1"/>
      <c r="AN60" s="13" t="s">
        <v>14</v>
      </c>
      <c r="AO60" s="1" t="s">
        <v>123</v>
      </c>
      <c r="AP60" s="1" t="s">
        <v>40</v>
      </c>
      <c r="AQ60" s="1"/>
      <c r="AR60" s="1" t="s">
        <v>123</v>
      </c>
      <c r="AS60" s="1" t="s">
        <v>40</v>
      </c>
      <c r="AT60" s="1"/>
      <c r="AU60" s="27" t="s">
        <v>123</v>
      </c>
      <c r="AV60" s="27" t="s">
        <v>40</v>
      </c>
      <c r="AW60" s="1"/>
      <c r="AX60" s="1"/>
      <c r="AY60" s="1"/>
    </row>
    <row r="61" spans="1:51" x14ac:dyDescent="0.25">
      <c r="A61" s="3" t="s">
        <v>25</v>
      </c>
      <c r="B61" s="1" t="s">
        <v>15</v>
      </c>
      <c r="C61" s="1" t="s">
        <v>233</v>
      </c>
      <c r="D61" s="9" t="str">
        <f>ROUND((MIN('[1]Puntos de control todos los dat'!J71,'[1]Puntos de control todos los dat'!J74,'[1]Puntos de control todos los dat'!J77)+MEDIAN('[1]Puntos de control todos los dat'!J71,'[1]Puntos de control todos los dat'!J74,'[1]Puntos de control todos los dat'!J77))/2,3)&amp;" - "&amp;ROUND((MEDIAN('[1]Puntos de control todos los dat'!J71,'[1]Puntos de control todos los dat'!J74,'[1]Puntos de control todos los dat'!J77)+MAX('[1]Puntos de control todos los dat'!J71,'[1]Puntos de control todos los dat'!J74,'[1]Puntos de control todos los dat'!J77))/2,3)</f>
        <v>16,945 - 18,17</v>
      </c>
      <c r="E61" s="39">
        <v>0.74077683419184193</v>
      </c>
      <c r="F61" s="40">
        <v>-0.43288911200077013</v>
      </c>
      <c r="G61" s="40">
        <v>-25.922316580815806</v>
      </c>
      <c r="H61" s="40">
        <v>-6.2066666666666634</v>
      </c>
      <c r="I61" s="40">
        <v>-0.14891234804862435</v>
      </c>
      <c r="J61" s="1"/>
      <c r="K61" s="1" t="s">
        <v>15</v>
      </c>
      <c r="L61" s="1" t="s">
        <v>234</v>
      </c>
      <c r="M61" s="9" t="str">
        <f>ROUND((MIN('[1]Puntos de control todos los dat'!J72,'[1]Puntos de control todos los dat'!J75,'[1]Puntos de control todos los dat'!J78)+MEDIAN('[1]Puntos de control todos los dat'!J72,'[1]Puntos de control todos los dat'!J75,'[1]Puntos de control todos los dat'!J78))/2,3)&amp;" - "&amp;ROUND((MEDIAN('[1]Puntos de control todos los dat'!J72,'[1]Puntos de control todos los dat'!J75,'[1]Puntos de control todos los dat'!J78)+MAX('[1]Puntos de control todos los dat'!J72,'[1]Puntos de control todos los dat'!J75,'[1]Puntos de control todos los dat'!J78))/2,3)</f>
        <v>25,225 - 30,99</v>
      </c>
      <c r="N61" s="39">
        <v>1.1804891378603635</v>
      </c>
      <c r="O61" s="39">
        <v>0.23938476682950918</v>
      </c>
      <c r="P61" s="39">
        <v>18.048913786036348</v>
      </c>
      <c r="Q61" s="39">
        <v>4.403333333333336</v>
      </c>
      <c r="R61" s="39">
        <v>8.2774609937966093E-2</v>
      </c>
      <c r="S61" s="9"/>
      <c r="T61" s="1" t="s">
        <v>15</v>
      </c>
      <c r="U61" s="1" t="s">
        <v>235</v>
      </c>
      <c r="V61" s="9" t="str">
        <f>ROUND((MIN('[1]Puntos de control todos los dat'!J73,'[1]Puntos de control todos los dat'!J76,'[1]Puntos de control todos los dat'!J79)+MEDIAN('[1]Puntos de control todos los dat'!J73,'[1]Puntos de control todos los dat'!J76,'[1]Puntos de control todos los dat'!J79))/2,3)&amp;" - "&amp;ROUND((MEDIAN('[1]Puntos de control todos los dat'!J73,'[1]Puntos de control todos los dat'!J76,'[1]Puntos de control todos los dat'!J79)+MAX('[1]Puntos de control todos los dat'!J73,'[1]Puntos de control todos los dat'!J76,'[1]Puntos de control todos los dat'!J79))/2,3)</f>
        <v>24,635 - 32,39</v>
      </c>
      <c r="W61" s="39">
        <v>1.0374030522892168</v>
      </c>
      <c r="X61" s="39">
        <v>5.2976519575930262E-2</v>
      </c>
      <c r="Y61" s="39">
        <v>3.7403052289216809</v>
      </c>
      <c r="Z61" s="39">
        <v>0.99666666666666615</v>
      </c>
      <c r="AA61" s="39">
        <v>1.8358199791244544E-2</v>
      </c>
      <c r="AB61" s="9"/>
      <c r="AC61" s="1" t="s">
        <v>17</v>
      </c>
      <c r="AD61" s="1" t="s">
        <v>236</v>
      </c>
      <c r="AE61" s="9" t="str">
        <f>ROUND((3*MIN('[1]Puntos de control todos los dat'!J61,'[1]Puntos de control todos los dat'!J62)+MAX('[1]Puntos de control todos los dat'!J61,'[1]Puntos de control todos los dat'!J62))/4,3)&amp;" - "&amp;ROUND((MIN('[1]Puntos de control todos los dat'!J61,'[1]Puntos de control todos los dat'!J62)+3*MAX('[1]Puntos de control todos los dat'!J61,'[1]Puntos de control todos los dat'!J62))/4,3)</f>
        <v>18,903 - 19,568</v>
      </c>
      <c r="AF61" s="39" t="s">
        <v>731</v>
      </c>
      <c r="AG61" s="39" t="s">
        <v>731</v>
      </c>
      <c r="AH61" s="39" t="s">
        <v>731</v>
      </c>
      <c r="AI61" s="39" t="s">
        <v>731</v>
      </c>
      <c r="AJ61" s="39" t="s">
        <v>731</v>
      </c>
      <c r="AK61" s="9"/>
      <c r="AL61" s="1"/>
      <c r="AM61" s="1"/>
      <c r="AN61" s="13" t="s">
        <v>25</v>
      </c>
      <c r="AO61" s="1" t="s">
        <v>53</v>
      </c>
      <c r="AP61" s="1" t="s">
        <v>30</v>
      </c>
      <c r="AQ61" s="1"/>
      <c r="AR61" s="1" t="s">
        <v>237</v>
      </c>
      <c r="AS61" s="1" t="s">
        <v>23</v>
      </c>
      <c r="AT61" s="1"/>
      <c r="AU61" s="27" t="s">
        <v>200</v>
      </c>
      <c r="AV61" s="27" t="s">
        <v>21</v>
      </c>
      <c r="AW61" s="1"/>
      <c r="AX61" s="1"/>
      <c r="AY61" s="1"/>
    </row>
    <row r="62" spans="1:51" x14ac:dyDescent="0.25">
      <c r="A62" s="3" t="s">
        <v>35</v>
      </c>
      <c r="B62" s="1" t="s">
        <v>15</v>
      </c>
      <c r="C62" s="1" t="s">
        <v>238</v>
      </c>
      <c r="D62" s="9" t="str">
        <f>ROUND((MIN('[1]Puntos de control todos los dat'!J2,'[1]Puntos de control todos los dat'!J5,'[1]Puntos de control todos los dat'!J8)+MEDIAN('[1]Puntos de control todos los dat'!J2,'[1]Puntos de control todos los dat'!J5,'[1]Puntos de control todos los dat'!J8))/2,3)&amp;" - "&amp;ROUND((MEDIAN('[1]Puntos de control todos los dat'!J2,'[1]Puntos de control todos los dat'!J5,'[1]Puntos de control todos los dat'!J8)+MAX('[1]Puntos de control todos los dat'!J2,'[1]Puntos de control todos los dat'!J5,'[1]Puntos de control todos los dat'!J8))/2,3)</f>
        <v>21,975 - 28,06</v>
      </c>
      <c r="E62" s="39">
        <v>1.019351245997494</v>
      </c>
      <c r="F62" s="40">
        <v>2.7651258120817406E-2</v>
      </c>
      <c r="G62" s="40">
        <v>1.9351245997494049</v>
      </c>
      <c r="H62" s="40">
        <v>0.46333333333333471</v>
      </c>
      <c r="I62" s="40">
        <v>9.5829024474319499E-3</v>
      </c>
      <c r="J62" s="1"/>
      <c r="K62" s="1" t="s">
        <v>15</v>
      </c>
      <c r="L62" s="1" t="s">
        <v>239</v>
      </c>
      <c r="M62" s="9" t="str">
        <f>ROUND((MIN('[1]Puntos de control todos los dat'!J3,'[1]Puntos de control todos los dat'!J6,'[1]Puntos de control todos los dat'!J9)+MEDIAN('[1]Puntos de control todos los dat'!J3,'[1]Puntos de control todos los dat'!J6,'[1]Puntos de control todos los dat'!J9))/2,3)&amp;" - "&amp;ROUND((MEDIAN('[1]Puntos de control todos los dat'!J3,'[1]Puntos de control todos los dat'!J6,'[1]Puntos de control todos los dat'!J9)+MAX('[1]Puntos de control todos los dat'!J3,'[1]Puntos de control todos los dat'!J6,'[1]Puntos de control todos los dat'!J9))/2,3)</f>
        <v>21,865 - 26,155</v>
      </c>
      <c r="N62" s="39">
        <v>0.96994124880448174</v>
      </c>
      <c r="O62" s="39">
        <v>-4.4030731737502223E-2</v>
      </c>
      <c r="P62" s="39">
        <v>-3.0058751195518263</v>
      </c>
      <c r="Q62" s="39">
        <v>-0.73333333333332718</v>
      </c>
      <c r="R62" s="39">
        <v>-1.5258704397281048E-2</v>
      </c>
      <c r="S62" s="9"/>
      <c r="T62" s="1" t="s">
        <v>15</v>
      </c>
      <c r="U62" s="1" t="s">
        <v>240</v>
      </c>
      <c r="V62" s="9" t="str">
        <f>ROUND((MIN('[1]Puntos de control todos los dat'!J4,'[1]Puntos de control todos los dat'!J7,'[1]Puntos de control todos los dat'!J10)+MEDIAN('[1]Puntos de control todos los dat'!J4,'[1]Puntos de control todos los dat'!J7,'[1]Puntos de control todos los dat'!J10))/2,3)&amp;" - "&amp;ROUND((MEDIAN('[1]Puntos de control todos los dat'!J4,'[1]Puntos de control todos los dat'!J7,'[1]Puntos de control todos los dat'!J10)+MAX('[1]Puntos de control todos los dat'!J4,'[1]Puntos de control todos los dat'!J7,'[1]Puntos de control todos los dat'!J10))/2,3)</f>
        <v>20,795 - 24,505</v>
      </c>
      <c r="W62" s="39">
        <v>0.84851138353765332</v>
      </c>
      <c r="X62" s="39">
        <v>-0.23699407994776156</v>
      </c>
      <c r="Y62" s="39">
        <v>-15.148861646234668</v>
      </c>
      <c r="Z62" s="39">
        <v>-4.0366666666666653</v>
      </c>
      <c r="AA62" s="39">
        <v>-8.1951681667456158E-2</v>
      </c>
      <c r="AB62" s="9"/>
      <c r="AC62" s="1" t="s">
        <v>72</v>
      </c>
      <c r="AD62" s="1" t="s">
        <v>241</v>
      </c>
      <c r="AE62" s="9" t="str">
        <f>ROUND('[1]Puntos de control todos los dat'!J64,3)&amp;" - "&amp;ROUND('[1]Puntos de control todos los dat'!J64,3)</f>
        <v>16,32 - 16,32</v>
      </c>
      <c r="AF62" s="39" t="s">
        <v>731</v>
      </c>
      <c r="AG62" s="39" t="s">
        <v>731</v>
      </c>
      <c r="AH62" s="39" t="s">
        <v>731</v>
      </c>
      <c r="AI62" s="39" t="s">
        <v>731</v>
      </c>
      <c r="AJ62" s="39" t="s">
        <v>731</v>
      </c>
      <c r="AK62" s="9"/>
      <c r="AL62" s="1"/>
      <c r="AM62" s="1"/>
      <c r="AN62" s="13" t="s">
        <v>35</v>
      </c>
      <c r="AO62" s="1" t="s">
        <v>123</v>
      </c>
      <c r="AP62" s="1" t="s">
        <v>40</v>
      </c>
      <c r="AQ62" s="1"/>
      <c r="AR62" s="1" t="s">
        <v>123</v>
      </c>
      <c r="AS62" s="1" t="s">
        <v>40</v>
      </c>
      <c r="AT62" s="1"/>
      <c r="AU62" s="27" t="s">
        <v>123</v>
      </c>
      <c r="AV62" s="27" t="s">
        <v>40</v>
      </c>
      <c r="AW62" s="1"/>
      <c r="AX62" s="1"/>
      <c r="AY62" s="1"/>
    </row>
    <row r="63" spans="1:51" x14ac:dyDescent="0.25">
      <c r="A63" s="3" t="s">
        <v>42</v>
      </c>
      <c r="B63" s="1" t="s">
        <v>15</v>
      </c>
      <c r="C63" s="1" t="s">
        <v>242</v>
      </c>
      <c r="D63" s="9" t="str">
        <f>ROUND((MIN('[1]Puntos de control todos los dat'!J11,'[1]Puntos de control todos los dat'!J14,'[1]Puntos de control todos los dat'!J17)+MEDIAN('[1]Puntos de control todos los dat'!J11,'[1]Puntos de control todos los dat'!J14,'[1]Puntos de control todos los dat'!J17))/2,3)&amp;" - "&amp;ROUND((MEDIAN('[1]Puntos de control todos los dat'!J11,'[1]Puntos de control todos los dat'!J14,'[1]Puntos de control todos los dat'!J17)+MAX('[1]Puntos de control todos los dat'!J11,'[1]Puntos de control todos los dat'!J14,'[1]Puntos de control todos los dat'!J17))/2,3)</f>
        <v>18,785 - 23,38</v>
      </c>
      <c r="E63" s="39">
        <v>0.89823193651677569</v>
      </c>
      <c r="F63" s="40">
        <v>-0.15484007702808542</v>
      </c>
      <c r="G63" s="40">
        <v>-10.176806348322431</v>
      </c>
      <c r="H63" s="40">
        <v>-2.4366666666666674</v>
      </c>
      <c r="I63" s="40">
        <v>-5.3612027869453634E-2</v>
      </c>
      <c r="J63" s="1"/>
      <c r="K63" s="1" t="s">
        <v>15</v>
      </c>
      <c r="L63" s="1" t="s">
        <v>243</v>
      </c>
      <c r="M63" s="9" t="str">
        <f>ROUND((MIN('[1]Puntos de control todos los dat'!J12,'[1]Puntos de control todos los dat'!J15,'[1]Puntos de control todos los dat'!J18)+MEDIAN('[1]Puntos de control todos los dat'!J12,'[1]Puntos de control todos los dat'!J15,'[1]Puntos de control todos los dat'!J18))/2,3)&amp;" - "&amp;ROUND((MEDIAN('[1]Puntos de control todos los dat'!J12,'[1]Puntos de control todos los dat'!J15,'[1]Puntos de control todos los dat'!J18)+MAX('[1]Puntos de control todos los dat'!J12,'[1]Puntos de control todos los dat'!J15,'[1]Puntos de control todos los dat'!J18))/2,3)</f>
        <v>17,45 - 22,78</v>
      </c>
      <c r="N63" s="39">
        <v>0.8592703921300725</v>
      </c>
      <c r="O63" s="39">
        <v>-0.21881590997051839</v>
      </c>
      <c r="P63" s="39">
        <v>-14.07296078699275</v>
      </c>
      <c r="Q63" s="39">
        <v>-3.43333333333333</v>
      </c>
      <c r="R63" s="39">
        <v>-7.5690770135214511E-2</v>
      </c>
      <c r="S63" s="9"/>
      <c r="T63" s="1" t="s">
        <v>15</v>
      </c>
      <c r="U63" s="1" t="s">
        <v>244</v>
      </c>
      <c r="V63" s="9" t="str">
        <f>ROUND((MIN('[1]Puntos de control todos los dat'!J13,'[1]Puntos de control todos los dat'!J16,'[1]Puntos de control todos los dat'!J19)+MEDIAN('[1]Puntos de control todos los dat'!J13,'[1]Puntos de control todos los dat'!J16,'[1]Puntos de control todos los dat'!J19))/2,3)&amp;" - "&amp;ROUND((MEDIAN('[1]Puntos de control todos los dat'!J13,'[1]Puntos de control todos los dat'!J16,'[1]Puntos de control todos los dat'!J19)+MAX('[1]Puntos de control todos los dat'!J13,'[1]Puntos de control todos los dat'!J16,'[1]Puntos de control todos los dat'!J19))/2,3)</f>
        <v>23,575 - 28,96</v>
      </c>
      <c r="W63" s="39">
        <v>0.96147110332749575</v>
      </c>
      <c r="X63" s="39">
        <v>-5.668459635764396E-2</v>
      </c>
      <c r="Y63" s="39">
        <v>-3.8528896672504254</v>
      </c>
      <c r="Z63" s="39">
        <v>-1.0266666666666637</v>
      </c>
      <c r="AA63" s="39">
        <v>-1.9642857142857087E-2</v>
      </c>
      <c r="AB63" s="9"/>
      <c r="AC63" s="1" t="s">
        <v>17</v>
      </c>
      <c r="AD63" s="1" t="s">
        <v>245</v>
      </c>
      <c r="AE63" s="9" t="str">
        <f>ROUND((3*MIN('[1]Puntos de control todos los dat'!J65,'[1]Puntos de control todos los dat'!J66)+MAX('[1]Puntos de control todos los dat'!J65,'[1]Puntos de control todos los dat'!J66))/4,3)&amp;" - "&amp;ROUND((MIN('[1]Puntos de control todos los dat'!J65,'[1]Puntos de control todos los dat'!J66)+3*MAX('[1]Puntos de control todos los dat'!J65,'[1]Puntos de control todos los dat'!J66))/4,3)</f>
        <v>25,87 - 30,35</v>
      </c>
      <c r="AF63" s="39" t="s">
        <v>731</v>
      </c>
      <c r="AG63" s="39" t="s">
        <v>731</v>
      </c>
      <c r="AH63" s="39" t="s">
        <v>731</v>
      </c>
      <c r="AI63" s="39" t="s">
        <v>731</v>
      </c>
      <c r="AJ63" s="39" t="s">
        <v>731</v>
      </c>
      <c r="AK63" s="9"/>
      <c r="AL63" s="1"/>
      <c r="AM63" s="1"/>
      <c r="AN63" s="3" t="s">
        <v>42</v>
      </c>
      <c r="AO63" s="1" t="s">
        <v>53</v>
      </c>
      <c r="AP63" s="1" t="s">
        <v>30</v>
      </c>
      <c r="AQ63" s="1"/>
      <c r="AR63" s="1" t="s">
        <v>53</v>
      </c>
      <c r="AS63" s="1" t="s">
        <v>30</v>
      </c>
      <c r="AT63" s="1"/>
      <c r="AU63" s="32" t="s">
        <v>34</v>
      </c>
      <c r="AV63" s="32" t="s">
        <v>21</v>
      </c>
      <c r="AW63" s="1"/>
      <c r="AX63" s="1"/>
      <c r="AY63" s="1"/>
    </row>
    <row r="64" spans="1:51" x14ac:dyDescent="0.25">
      <c r="A64" s="3" t="s">
        <v>48</v>
      </c>
      <c r="B64" s="1" t="s">
        <v>15</v>
      </c>
      <c r="C64" s="1" t="s">
        <v>246</v>
      </c>
      <c r="D64" s="9" t="str">
        <f>ROUND((MIN('[1]Puntos de control todos los dat'!J20,'[1]Puntos de control todos los dat'!J23,'[1]Puntos de control todos los dat'!J26)+MEDIAN('[1]Puntos de control todos los dat'!J20,'[1]Puntos de control todos los dat'!J23,'[1]Puntos de control todos los dat'!J26))/2,3)&amp;" - "&amp;ROUND((MEDIAN('[1]Puntos de control todos los dat'!J20,'[1]Puntos de control todos los dat'!J23,'[1]Puntos de control todos los dat'!J26)+MAX('[1]Puntos de control todos los dat'!J20,'[1]Puntos de control todos los dat'!J23,'[1]Puntos de control todos los dat'!J26))/2,3)</f>
        <v>29,32 - 29,52</v>
      </c>
      <c r="E64" s="39">
        <v>1.2281776416539052</v>
      </c>
      <c r="F64" s="40">
        <v>0.29651924490848969</v>
      </c>
      <c r="G64" s="40">
        <v>22.817764165390521</v>
      </c>
      <c r="H64" s="40">
        <v>5.4633333333333347</v>
      </c>
      <c r="I64" s="40">
        <v>0.10240549828178698</v>
      </c>
      <c r="J64" s="1"/>
      <c r="K64" s="1" t="s">
        <v>15</v>
      </c>
      <c r="L64" s="1" t="s">
        <v>247</v>
      </c>
      <c r="M64" s="9" t="str">
        <f>ROUND((MIN('[1]Puntos de control todos los dat'!J21,'[1]Puntos de control todos los dat'!J24,'[1]Puntos de control todos los dat'!J27)+MEDIAN('[1]Puntos de control todos los dat'!J21,'[1]Puntos de control todos los dat'!J24,'[1]Puntos de control todos los dat'!J27))/2,3)&amp;" - "&amp;ROUND((MEDIAN('[1]Puntos de control todos los dat'!J21,'[1]Puntos de control todos los dat'!J24,'[1]Puntos de control todos los dat'!J27)+MAX('[1]Puntos de control todos los dat'!J21,'[1]Puntos de control todos los dat'!J24,'[1]Puntos de control todos los dat'!J27))/2,3)</f>
        <v>18,285 - 23,83</v>
      </c>
      <c r="N64" s="39">
        <v>0.8973903538734801</v>
      </c>
      <c r="O64" s="39">
        <v>-0.15619241844351675</v>
      </c>
      <c r="P64" s="39">
        <v>-10.260964612651991</v>
      </c>
      <c r="Q64" s="39">
        <v>-2.5033333333333303</v>
      </c>
      <c r="R64" s="39">
        <v>-5.4079354792251684E-2</v>
      </c>
      <c r="S64" s="9"/>
      <c r="T64" s="1" t="s">
        <v>15</v>
      </c>
      <c r="U64" s="1" t="s">
        <v>248</v>
      </c>
      <c r="V64" s="9" t="str">
        <f>ROUND((MIN('[1]Puntos de control todos los dat'!J22,'[1]Puntos de control todos los dat'!J25,'[1]Puntos de control todos los dat'!J28)+MEDIAN('[1]Puntos de control todos los dat'!J22,'[1]Puntos de control todos los dat'!J25,'[1]Puntos de control todos los dat'!J28))/2,3)&amp;" - "&amp;ROUND((MEDIAN('[1]Puntos de control todos los dat'!J22,'[1]Puntos de control todos los dat'!J25,'[1]Puntos de control todos los dat'!J28)+MAX('[1]Puntos de control todos los dat'!J22,'[1]Puntos de control todos los dat'!J25,'[1]Puntos de control todos los dat'!J28))/2,3)</f>
        <v>23,255 - 29,605</v>
      </c>
      <c r="W64" s="39">
        <v>0.97473104828621471</v>
      </c>
      <c r="X64" s="39">
        <v>-3.6923895338104661E-2</v>
      </c>
      <c r="Y64" s="39">
        <v>-2.5268951713785293</v>
      </c>
      <c r="Z64" s="39">
        <v>-0.67333333333333201</v>
      </c>
      <c r="AA64" s="39">
        <v>-1.2796148486000228E-2</v>
      </c>
      <c r="AB64" s="9"/>
      <c r="AC64" s="1" t="s">
        <v>17</v>
      </c>
      <c r="AD64" s="1" t="s">
        <v>249</v>
      </c>
      <c r="AE64" s="9" t="str">
        <f>ROUND((3*MIN('[1]Puntos de control todos los dat'!J67,'[1]Puntos de control todos los dat'!J68)+MAX('[1]Puntos de control todos los dat'!J67,'[1]Puntos de control todos los dat'!J68))/4,3)&amp;" - "&amp;ROUND((MIN('[1]Puntos de control todos los dat'!J67,'[1]Puntos de control todos los dat'!J68)+3*MAX('[1]Puntos de control todos los dat'!J67,'[1]Puntos de control todos los dat'!J68))/4,3)</f>
        <v>20,998 - 21,353</v>
      </c>
      <c r="AF64" s="39" t="s">
        <v>731</v>
      </c>
      <c r="AG64" s="39" t="s">
        <v>731</v>
      </c>
      <c r="AH64" s="39" t="s">
        <v>731</v>
      </c>
      <c r="AI64" s="39" t="s">
        <v>731</v>
      </c>
      <c r="AJ64" s="39" t="s">
        <v>731</v>
      </c>
      <c r="AK64" s="9"/>
      <c r="AL64" s="1"/>
      <c r="AM64" s="1"/>
      <c r="AN64" s="13" t="s">
        <v>48</v>
      </c>
      <c r="AO64" s="1" t="s">
        <v>237</v>
      </c>
      <c r="AP64" s="1" t="s">
        <v>23</v>
      </c>
      <c r="AQ64" s="1"/>
      <c r="AR64" s="1" t="s">
        <v>34</v>
      </c>
      <c r="AS64" s="1" t="s">
        <v>21</v>
      </c>
      <c r="AT64" s="1"/>
      <c r="AU64" s="27" t="s">
        <v>200</v>
      </c>
      <c r="AV64" s="27" t="s">
        <v>21</v>
      </c>
      <c r="AW64" s="1"/>
      <c r="AX64" s="1"/>
      <c r="AY64" s="1"/>
    </row>
    <row r="65" spans="1:51" x14ac:dyDescent="0.25">
      <c r="A65" s="3" t="s">
        <v>54</v>
      </c>
      <c r="B65" s="1" t="s">
        <v>15</v>
      </c>
      <c r="C65" s="1" t="s">
        <v>250</v>
      </c>
      <c r="D65" s="9" t="str">
        <f>ROUND((MIN('[1]Puntos de control todos los dat'!J29,'[1]Puntos de control todos los dat'!J32,'[1]Puntos de control todos los dat'!J35)+MEDIAN('[1]Puntos de control todos los dat'!J29,'[1]Puntos de control todos los dat'!J32,'[1]Puntos de control todos los dat'!J35))/2,3)&amp;" - "&amp;ROUND((MEDIAN('[1]Puntos de control todos los dat'!J29,'[1]Puntos de control todos los dat'!J32,'[1]Puntos de control todos los dat'!J35)+MAX('[1]Puntos de control todos los dat'!J29,'[1]Puntos de control todos los dat'!J32,'[1]Puntos de control todos los dat'!J35))/2,3)</f>
        <v>19,925 - 22,18</v>
      </c>
      <c r="E65" s="39">
        <v>0.88570235277739118</v>
      </c>
      <c r="F65" s="40">
        <v>-0.17510614364421448</v>
      </c>
      <c r="G65" s="40">
        <v>-11.429764722260883</v>
      </c>
      <c r="H65" s="40">
        <v>-2.7366666666666646</v>
      </c>
      <c r="I65" s="40">
        <v>-6.0612772240679173E-2</v>
      </c>
      <c r="J65" s="1"/>
      <c r="K65" s="1" t="s">
        <v>15</v>
      </c>
      <c r="L65" s="1" t="s">
        <v>251</v>
      </c>
      <c r="M65" s="9" t="str">
        <f>ROUND((MIN('[1]Puntos de control todos los dat'!J30,'[1]Puntos de control todos los dat'!J33,'[1]Puntos de control todos los dat'!J36)+MEDIAN('[1]Puntos de control todos los dat'!J30,'[1]Puntos de control todos los dat'!J33,'[1]Puntos de control todos los dat'!J36))/2,3)&amp;" - "&amp;ROUND((MEDIAN('[1]Puntos de control todos los dat'!J30,'[1]Puntos de control todos los dat'!J33,'[1]Puntos de control todos los dat'!J36)+MAX('[1]Puntos de control todos los dat'!J30,'[1]Puntos de control todos los dat'!J33,'[1]Puntos de control todos los dat'!J36))/2,3)</f>
        <v>24,16 - 30,07</v>
      </c>
      <c r="N65" s="39">
        <v>1.0781527531083481</v>
      </c>
      <c r="O65" s="39">
        <v>0.10856159417545248</v>
      </c>
      <c r="P65" s="39">
        <v>7.8152753108348127</v>
      </c>
      <c r="Q65" s="39">
        <v>1.9066666666666663</v>
      </c>
      <c r="R65" s="39">
        <v>3.7606837606837605E-2</v>
      </c>
      <c r="S65" s="9"/>
      <c r="T65" s="1" t="s">
        <v>15</v>
      </c>
      <c r="U65" s="1" t="s">
        <v>252</v>
      </c>
      <c r="V65" s="9" t="str">
        <f>ROUND((MIN('[1]Puntos de control todos los dat'!J31,'[1]Puntos de control todos los dat'!J34,'[1]Puntos de control todos los dat'!J37)+MEDIAN('[1]Puntos de control todos los dat'!J31,'[1]Puntos de control todos los dat'!J34,'[1]Puntos de control todos los dat'!J37))/2,3)&amp;" - "&amp;ROUND((MEDIAN('[1]Puntos de control todos los dat'!J31,'[1]Puntos de control todos los dat'!J34,'[1]Puntos de control todos los dat'!J37)+MAX('[1]Puntos de control todos los dat'!J31,'[1]Puntos de control todos los dat'!J34,'[1]Puntos de control todos los dat'!J37))/2,3)</f>
        <v>30,67 - 31,82</v>
      </c>
      <c r="W65" s="39">
        <v>1.1659994996247187</v>
      </c>
      <c r="X65" s="39">
        <v>0.22156716942255023</v>
      </c>
      <c r="Y65" s="39">
        <v>16.599949962471872</v>
      </c>
      <c r="Z65" s="39">
        <v>4.4233333333333391</v>
      </c>
      <c r="AA65" s="39">
        <v>7.663875252671104E-2</v>
      </c>
      <c r="AB65" s="9"/>
      <c r="AC65" s="1" t="s">
        <v>72</v>
      </c>
      <c r="AD65" s="1" t="s">
        <v>253</v>
      </c>
      <c r="AE65" s="9" t="str">
        <f>ROUND('[1]Puntos de control todos los dat'!J69,3)&amp;" - "&amp;ROUND('[1]Puntos de control todos los dat'!J69,3)</f>
        <v>32,18 - 32,18</v>
      </c>
      <c r="AF65" s="39" t="s">
        <v>731</v>
      </c>
      <c r="AG65" s="39" t="s">
        <v>731</v>
      </c>
      <c r="AH65" s="39" t="s">
        <v>731</v>
      </c>
      <c r="AI65" s="39" t="s">
        <v>731</v>
      </c>
      <c r="AJ65" s="39" t="s">
        <v>731</v>
      </c>
      <c r="AK65" s="9"/>
      <c r="AL65" s="1"/>
      <c r="AM65" s="1"/>
      <c r="AN65" s="19" t="s">
        <v>54</v>
      </c>
      <c r="AO65" s="1" t="s">
        <v>74</v>
      </c>
      <c r="AP65" s="1" t="s">
        <v>40</v>
      </c>
      <c r="AQ65" s="1"/>
      <c r="AR65" s="1" t="s">
        <v>74</v>
      </c>
      <c r="AS65" s="1" t="s">
        <v>40</v>
      </c>
      <c r="AT65" s="1"/>
      <c r="AU65" s="30" t="s">
        <v>74</v>
      </c>
      <c r="AV65" s="30" t="s">
        <v>40</v>
      </c>
      <c r="AW65" s="1"/>
      <c r="AX65" s="1"/>
      <c r="AY65" s="1"/>
    </row>
    <row r="66" spans="1:51" x14ac:dyDescent="0.25">
      <c r="A66" s="3" t="s">
        <v>59</v>
      </c>
      <c r="B66" s="1" t="s">
        <v>17</v>
      </c>
      <c r="C66" s="1" t="s">
        <v>254</v>
      </c>
      <c r="D66" s="9" t="str">
        <f>ROUND((3*MIN('[1]Puntos de control todos los dat'!J47,'[1]Puntos de control todos los dat'!J50)+MAX('[1]Puntos de control todos los dat'!J47,'[1]Puntos de control todos los dat'!J50))/4,3)&amp;" - "&amp;ROUND((MIN('[1]Puntos de control todos los dat'!J47,'[1]Puntos de control todos los dat'!J50)+3*MAX('[1]Puntos de control todos los dat'!J47,'[1]Puntos de control todos los dat'!J50))/4,3)</f>
        <v>17,15 - 18,05</v>
      </c>
      <c r="E66" s="39">
        <v>0.73506891271056674</v>
      </c>
      <c r="F66" s="40">
        <v>-0.44404858593791202</v>
      </c>
      <c r="G66" s="40">
        <v>-26.493108728943326</v>
      </c>
      <c r="H66" s="40">
        <v>-6.3433333333333302</v>
      </c>
      <c r="I66" s="40">
        <v>-0.15269196822594872</v>
      </c>
      <c r="J66" s="1"/>
      <c r="K66" s="1" t="s">
        <v>17</v>
      </c>
      <c r="L66" s="1" t="s">
        <v>255</v>
      </c>
      <c r="M66" s="9" t="str">
        <f>ROUND((3*MIN('[1]Puntos de control todos los dat'!J48,'[1]Puntos de control todos los dat'!J51)+MAX('[1]Puntos de control todos los dat'!J48,'[1]Puntos de control todos los dat'!J51))/4,3)&amp;" - "&amp;ROUND((MIN('[1]Puntos de control todos los dat'!J48,'[1]Puntos de control todos los dat'!J51)+3*MAX('[1]Puntos de control todos los dat'!J48,'[1]Puntos de control todos los dat'!J51))/4,3)</f>
        <v>20,513 - 21,878</v>
      </c>
      <c r="N66" s="39">
        <v>0.86876622489411126</v>
      </c>
      <c r="O66" s="39">
        <v>-0.20296007844506994</v>
      </c>
      <c r="P66" s="39">
        <v>-13.123377510588874</v>
      </c>
      <c r="Q66" s="39">
        <v>-3.2016666666666644</v>
      </c>
      <c r="R66" s="39">
        <v>-7.0224821787607333E-2</v>
      </c>
      <c r="S66" s="9"/>
      <c r="T66" s="1" t="s">
        <v>17</v>
      </c>
      <c r="U66" s="1" t="s">
        <v>256</v>
      </c>
      <c r="V66" s="9" t="str">
        <f>ROUND((3*MIN('[1]Puntos de control todos los dat'!J49,'[1]Puntos de control todos los dat'!J52)+MAX('[1]Puntos de control todos los dat'!J49,'[1]Puntos de control todos los dat'!J52))/4,3)&amp;" - "&amp;ROUND((MIN('[1]Puntos de control todos los dat'!J49,'[1]Puntos de control todos los dat'!J52)+3*MAX('[1]Puntos de control todos los dat'!J49,'[1]Puntos de control todos los dat'!J52))/4,3)</f>
        <v>17,018 - 17,513</v>
      </c>
      <c r="W66" s="39">
        <v>0.64792344258193657</v>
      </c>
      <c r="X66" s="39">
        <v>-0.62610473784590381</v>
      </c>
      <c r="Y66" s="39">
        <v>-35.207655741806342</v>
      </c>
      <c r="Z66" s="39">
        <v>-9.3816666666666642</v>
      </c>
      <c r="AA66" s="39">
        <v>-0.21364861274528407</v>
      </c>
      <c r="AB66" s="9"/>
      <c r="AC66" s="1" t="s">
        <v>63</v>
      </c>
      <c r="AD66" s="1" t="s">
        <v>63</v>
      </c>
      <c r="AE66" s="9" t="s">
        <v>63</v>
      </c>
      <c r="AF66" s="39" t="s">
        <v>731</v>
      </c>
      <c r="AG66" s="39" t="s">
        <v>731</v>
      </c>
      <c r="AH66" s="39" t="s">
        <v>731</v>
      </c>
      <c r="AI66" s="39" t="s">
        <v>731</v>
      </c>
      <c r="AJ66" s="39" t="s">
        <v>731</v>
      </c>
      <c r="AK66" s="9"/>
      <c r="AL66" s="1"/>
      <c r="AM66" s="1"/>
      <c r="AN66" s="3" t="s">
        <v>59</v>
      </c>
      <c r="AO66" s="3" t="s">
        <v>63</v>
      </c>
      <c r="AP66" s="3" t="s">
        <v>63</v>
      </c>
      <c r="AQ66" s="3"/>
      <c r="AR66" s="3" t="s">
        <v>63</v>
      </c>
      <c r="AS66" s="3" t="s">
        <v>63</v>
      </c>
      <c r="AT66" s="3"/>
      <c r="AU66" s="15" t="s">
        <v>63</v>
      </c>
      <c r="AV66" s="15" t="s">
        <v>63</v>
      </c>
      <c r="AW66" s="1"/>
      <c r="AX66" s="1"/>
      <c r="AY66" s="1"/>
    </row>
    <row r="67" spans="1:51" x14ac:dyDescent="0.25">
      <c r="A67" s="3" t="s">
        <v>64</v>
      </c>
      <c r="B67" s="1" t="s">
        <v>17</v>
      </c>
      <c r="C67" s="1" t="s">
        <v>257</v>
      </c>
      <c r="D67" s="9" t="str">
        <f>ROUND((3*MIN('[1]Puntos de control todos los dat'!J53,'[1]Puntos de control todos los dat'!J56)+MAX('[1]Puntos de control todos los dat'!J53,'[1]Puntos de control todos los dat'!J56))/4,3)&amp;" - "&amp;ROUND((MIN('[1]Puntos de control todos los dat'!J53,'[1]Puntos de control todos los dat'!J56)+3*MAX('[1]Puntos de control todos los dat'!J53,'[1]Puntos de control todos los dat'!J56))/4,3)</f>
        <v>17,2 - 18,5</v>
      </c>
      <c r="E67" s="39">
        <v>0.74551023249338733</v>
      </c>
      <c r="F67" s="40">
        <v>-0.42369994054610949</v>
      </c>
      <c r="G67" s="40">
        <v>-25.448976750661267</v>
      </c>
      <c r="H67" s="40">
        <v>-6.0933333333333302</v>
      </c>
      <c r="I67" s="40">
        <v>-0.1457967777955016</v>
      </c>
      <c r="J67" s="1"/>
      <c r="K67" s="1" t="s">
        <v>17</v>
      </c>
      <c r="L67" s="1" t="s">
        <v>258</v>
      </c>
      <c r="M67" s="9" t="str">
        <f>ROUND((3*MIN('[1]Puntos de control todos los dat'!J54,'[1]Puntos de control todos los dat'!J57)+MAX('[1]Puntos de control todos los dat'!J54,'[1]Puntos de control todos los dat'!J57))/4,3)&amp;" - "&amp;ROUND((MIN('[1]Puntos de control todos los dat'!J54,'[1]Puntos de control todos los dat'!J57)+3*MAX('[1]Puntos de control todos los dat'!J54,'[1]Puntos de control todos los dat'!J57))/4,3)</f>
        <v>24,558 - 25,873</v>
      </c>
      <c r="N67" s="39">
        <v>1.0335428337204537</v>
      </c>
      <c r="O67" s="39">
        <v>4.7598180457158197E-2</v>
      </c>
      <c r="P67" s="39">
        <v>3.3542833720453746</v>
      </c>
      <c r="Q67" s="39">
        <v>0.81833333333333513</v>
      </c>
      <c r="R67" s="39">
        <v>1.6494776094332687E-2</v>
      </c>
      <c r="S67" s="9"/>
      <c r="T67" s="1" t="s">
        <v>17</v>
      </c>
      <c r="U67" s="1" t="s">
        <v>259</v>
      </c>
      <c r="V67" s="9" t="str">
        <f>ROUND((3*MIN('[1]Puntos de control todos los dat'!J55,'[1]Puntos de control todos los dat'!J58)+MAX('[1]Puntos de control todos los dat'!J55,'[1]Puntos de control todos los dat'!J58))/4,3)&amp;" - "&amp;ROUND((MIN('[1]Puntos de control todos los dat'!J55,'[1]Puntos de control todos los dat'!J58)+3*MAX('[1]Puntos de control todos los dat'!J55,'[1]Puntos de control todos los dat'!J58))/4,3)</f>
        <v>26,753 - 26,898</v>
      </c>
      <c r="W67" s="39">
        <v>1.0066925193895422</v>
      </c>
      <c r="X67" s="39">
        <v>9.6230989445935788E-3</v>
      </c>
      <c r="Y67" s="39">
        <v>0.66925193895421842</v>
      </c>
      <c r="Z67" s="39">
        <v>0.17833333333333456</v>
      </c>
      <c r="AA67" s="39">
        <v>3.3350995854502618E-3</v>
      </c>
      <c r="AB67" s="9"/>
      <c r="AC67" s="1" t="s">
        <v>63</v>
      </c>
      <c r="AD67" s="1" t="s">
        <v>63</v>
      </c>
      <c r="AE67" s="9" t="s">
        <v>63</v>
      </c>
      <c r="AF67" s="39" t="s">
        <v>731</v>
      </c>
      <c r="AG67" s="39" t="s">
        <v>731</v>
      </c>
      <c r="AH67" s="39" t="s">
        <v>731</v>
      </c>
      <c r="AI67" s="39" t="s">
        <v>731</v>
      </c>
      <c r="AJ67" s="39" t="s">
        <v>731</v>
      </c>
      <c r="AK67" s="9"/>
      <c r="AL67" s="1"/>
      <c r="AM67" s="1"/>
      <c r="AN67" s="3" t="s">
        <v>64</v>
      </c>
      <c r="AO67" s="3" t="s">
        <v>63</v>
      </c>
      <c r="AP67" s="3" t="s">
        <v>63</v>
      </c>
      <c r="AQ67" s="3"/>
      <c r="AR67" s="3" t="s">
        <v>63</v>
      </c>
      <c r="AS67" s="3" t="s">
        <v>63</v>
      </c>
      <c r="AT67" s="3"/>
      <c r="AU67" s="15" t="s">
        <v>63</v>
      </c>
      <c r="AV67" s="15" t="s">
        <v>63</v>
      </c>
      <c r="AW67" s="1"/>
      <c r="AX67" s="1"/>
      <c r="AY67" s="1"/>
    </row>
    <row r="68" spans="1:51" x14ac:dyDescent="0.25">
      <c r="A68" s="20" t="s">
        <v>260</v>
      </c>
      <c r="B68" s="1"/>
      <c r="C68" s="1"/>
      <c r="D68" s="9"/>
      <c r="E68" s="9"/>
      <c r="F68" s="1"/>
      <c r="G68" s="1"/>
      <c r="H68" s="1"/>
      <c r="I68" s="1"/>
      <c r="J68" s="1"/>
      <c r="K68" s="1"/>
      <c r="L68" s="1"/>
      <c r="M68" s="9"/>
      <c r="N68" s="9"/>
      <c r="O68" s="9"/>
      <c r="S68" s="9"/>
      <c r="T68" s="1"/>
      <c r="U68" s="1"/>
      <c r="V68" s="9"/>
      <c r="W68" s="9"/>
      <c r="X68" s="9"/>
      <c r="AB68" s="9"/>
      <c r="AC68" s="1"/>
      <c r="AD68" s="1"/>
      <c r="AE68" s="9"/>
      <c r="AF68" s="9"/>
      <c r="AG68" s="9"/>
      <c r="AK68" s="9"/>
      <c r="AL68" s="1"/>
      <c r="AM68" s="1"/>
      <c r="AN68" s="1" t="s">
        <v>260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3" t="s">
        <v>14</v>
      </c>
      <c r="B69" s="1" t="s">
        <v>15</v>
      </c>
      <c r="C69" s="1" t="s">
        <v>261</v>
      </c>
      <c r="D69" s="9" t="str">
        <f>ROUND((MIN('[1]Puntos de control todos los dat'!K38,'[1]Puntos de control todos los dat'!K41,'[1]Puntos de control todos los dat'!K44)+MEDIAN('[1]Puntos de control todos los dat'!K38,'[1]Puntos de control todos los dat'!K41,'[1]Puntos de control todos los dat'!K44))/2,3)&amp;" - "&amp;ROUND((MEDIAN('[1]Puntos de control todos los dat'!K38,'[1]Puntos de control todos los dat'!K41,'[1]Puntos de control todos los dat'!K44)+MAX('[1]Puntos de control todos los dat'!K38,'[1]Puntos de control todos los dat'!K41,'[1]Puntos de control todos los dat'!K44))/2,3)</f>
        <v>279,105 - 288,67</v>
      </c>
      <c r="E69" s="39">
        <v>1</v>
      </c>
      <c r="F69" s="40">
        <v>0</v>
      </c>
      <c r="G69" s="40">
        <v>0</v>
      </c>
      <c r="H69" s="40">
        <v>0</v>
      </c>
      <c r="I69" s="40">
        <v>0</v>
      </c>
      <c r="J69" s="1"/>
      <c r="K69" s="1" t="s">
        <v>17</v>
      </c>
      <c r="L69" s="1" t="s">
        <v>262</v>
      </c>
      <c r="M69" s="9" t="str">
        <f>ROUND((3*MIN('[1]Puntos de control todos los dat'!K39,'[1]Puntos de control todos los dat'!K42)+MAX('[1]Puntos de control todos los dat'!K39,'[1]Puntos de control todos los dat'!K42))/4,3)&amp;" - "&amp;ROUND((MIN('[1]Puntos de control todos los dat'!K39,'[1]Puntos de control todos los dat'!K42)+3*MAX('[1]Puntos de control todos los dat'!K39,'[1]Puntos de control todos los dat'!K42))/4,3)</f>
        <v>272,488 - 274,903</v>
      </c>
      <c r="N69" s="39">
        <v>1</v>
      </c>
      <c r="O69" s="39">
        <v>0</v>
      </c>
      <c r="P69" s="39">
        <v>0</v>
      </c>
      <c r="Q69" s="39">
        <v>0</v>
      </c>
      <c r="R69" s="39">
        <v>0</v>
      </c>
      <c r="S69" s="9"/>
      <c r="T69" s="1" t="s">
        <v>15</v>
      </c>
      <c r="U69" s="1" t="s">
        <v>263</v>
      </c>
      <c r="V69" s="9" t="str">
        <f>ROUND((MIN('[1]Puntos de control todos los dat'!K40,'[1]Puntos de control todos los dat'!K43,'[1]Puntos de control todos los dat'!K46)+MEDIAN('[1]Puntos de control todos los dat'!K40,'[1]Puntos de control todos los dat'!K43,'[1]Puntos de control todos los dat'!K46))/2,3)&amp;" - "&amp;ROUND((MEDIAN('[1]Puntos de control todos los dat'!K40,'[1]Puntos de control todos los dat'!K43,'[1]Puntos de control todos los dat'!K46)+MAX('[1]Puntos de control todos los dat'!K40,'[1]Puntos de control todos los dat'!K43,'[1]Puntos de control todos los dat'!K46))/2,3)</f>
        <v>275,99 - 279,19</v>
      </c>
      <c r="W69" s="39">
        <v>1</v>
      </c>
      <c r="X69" s="39">
        <v>0</v>
      </c>
      <c r="Y69" s="39">
        <v>0</v>
      </c>
      <c r="Z69" s="39">
        <v>0</v>
      </c>
      <c r="AA69" s="39">
        <v>0</v>
      </c>
      <c r="AB69" s="9"/>
      <c r="AC69" s="1" t="s">
        <v>17</v>
      </c>
      <c r="AD69" s="1" t="s">
        <v>264</v>
      </c>
      <c r="AE69" s="9" t="str">
        <f>ROUND((3*MIN('[1]Puntos de control todos los dat'!K59,'[1]Puntos de control todos los dat'!K60)+MAX('[1]Puntos de control todos los dat'!K59,'[1]Puntos de control todos los dat'!K60))/4,3)&amp;" - "&amp;ROUND((MIN('[1]Puntos de control todos los dat'!K59,'[1]Puntos de control todos los dat'!K60)+3*MAX('[1]Puntos de control todos los dat'!K59,'[1]Puntos de control todos los dat'!K60))/4,3)</f>
        <v>289,528 - 295,003</v>
      </c>
      <c r="AF69" s="39">
        <v>1</v>
      </c>
      <c r="AG69" s="39">
        <v>0</v>
      </c>
      <c r="AH69" s="39">
        <v>0</v>
      </c>
      <c r="AI69" s="39">
        <v>0</v>
      </c>
      <c r="AJ69" s="39">
        <v>0</v>
      </c>
      <c r="AK69" s="9"/>
      <c r="AL69" s="1"/>
      <c r="AM69" s="1"/>
      <c r="AN69" s="3" t="s">
        <v>14</v>
      </c>
      <c r="AO69" s="1" t="s">
        <v>53</v>
      </c>
      <c r="AP69" s="1" t="s">
        <v>30</v>
      </c>
      <c r="AQ69" s="1"/>
      <c r="AR69" s="1" t="s">
        <v>24</v>
      </c>
      <c r="AS69" s="1" t="s">
        <v>23</v>
      </c>
      <c r="AT69" s="1"/>
      <c r="AU69" s="1" t="s">
        <v>22</v>
      </c>
      <c r="AV69" s="1" t="s">
        <v>23</v>
      </c>
      <c r="AW69" s="1"/>
      <c r="AX69" s="1"/>
      <c r="AY69" s="1"/>
    </row>
    <row r="70" spans="1:51" x14ac:dyDescent="0.25">
      <c r="A70" s="3" t="s">
        <v>25</v>
      </c>
      <c r="B70" s="1" t="s">
        <v>15</v>
      </c>
      <c r="C70" s="1" t="s">
        <v>265</v>
      </c>
      <c r="D70" s="9" t="str">
        <f>ROUND((MIN('[1]Puntos de control todos los dat'!K71,'[1]Puntos de control todos los dat'!K74,'[1]Puntos de control todos los dat'!K77)+MEDIAN('[1]Puntos de control todos los dat'!K71,'[1]Puntos de control todos los dat'!K74,'[1]Puntos de control todos los dat'!K77))/2,3)&amp;" - "&amp;ROUND((MEDIAN('[1]Puntos de control todos los dat'!K71,'[1]Puntos de control todos los dat'!K74,'[1]Puntos de control todos los dat'!K77)+MAX('[1]Puntos de control todos los dat'!K71,'[1]Puntos de control todos los dat'!K74,'[1]Puntos de control todos los dat'!K77))/2,3)</f>
        <v>288,625 - 314,79</v>
      </c>
      <c r="E70" s="39">
        <v>1.0637745859969383</v>
      </c>
      <c r="F70" s="40">
        <v>8.9192475916842637E-2</v>
      </c>
      <c r="G70" s="40">
        <v>6.3774585996938304</v>
      </c>
      <c r="H70" s="40">
        <v>18.190000000000055</v>
      </c>
      <c r="I70" s="40">
        <v>3.0901914593609053E-2</v>
      </c>
      <c r="J70" s="1"/>
      <c r="K70" s="1" t="s">
        <v>17</v>
      </c>
      <c r="L70" s="1" t="s">
        <v>266</v>
      </c>
      <c r="M70" s="9" t="str">
        <f>ROUND((3*MIN('[1]Puntos de control todos los dat'!K75,'[1]Puntos de control todos los dat'!K78)+MAX('[1]Puntos de control todos los dat'!K75,'[1]Puntos de control todos los dat'!K78))/4,3)&amp;" - "&amp;ROUND((MIN('[1]Puntos de control todos los dat'!K75,'[1]Puntos de control todos los dat'!K78)+3*MAX('[1]Puntos de control todos los dat'!K75,'[1]Puntos de control todos los dat'!K78))/4,3)</f>
        <v>274,51 - 278,41</v>
      </c>
      <c r="N70" s="39">
        <v>1.0101024863442885</v>
      </c>
      <c r="O70" s="39">
        <v>1.4501678164742588E-2</v>
      </c>
      <c r="P70" s="39">
        <v>1.0102486344288453</v>
      </c>
      <c r="Q70" s="39">
        <v>2.7650000000000432</v>
      </c>
      <c r="R70" s="39">
        <v>5.0258563495742901E-3</v>
      </c>
      <c r="S70" s="9"/>
      <c r="T70" s="1" t="s">
        <v>15</v>
      </c>
      <c r="U70" s="1" t="s">
        <v>267</v>
      </c>
      <c r="V70" s="9" t="str">
        <f>ROUND((MIN('[1]Puntos de control todos los dat'!K73,'[1]Puntos de control todos los dat'!K76,'[1]Puntos de control todos los dat'!K79)+MEDIAN('[1]Puntos de control todos los dat'!K73,'[1]Puntos de control todos los dat'!K76,'[1]Puntos de control todos los dat'!K79))/2,3)&amp;" - "&amp;ROUND((MEDIAN('[1]Puntos de control todos los dat'!K73,'[1]Puntos de control todos los dat'!K76,'[1]Puntos de control todos los dat'!K79)+MAX('[1]Puntos de control todos los dat'!K73,'[1]Puntos de control todos los dat'!K76,'[1]Puntos de control todos los dat'!K79))/2,3)</f>
        <v>279,045 - 330,925</v>
      </c>
      <c r="W70" s="39">
        <v>1.1279891532582218</v>
      </c>
      <c r="X70" s="39">
        <v>0.17375319485034912</v>
      </c>
      <c r="Y70" s="39">
        <v>12.798915325822179</v>
      </c>
      <c r="Z70" s="39">
        <v>35.556666666666615</v>
      </c>
      <c r="AA70" s="39">
        <v>6.0145585358014723E-2</v>
      </c>
      <c r="AB70" s="9"/>
      <c r="AC70" s="1" t="s">
        <v>72</v>
      </c>
      <c r="AD70" s="1" t="s">
        <v>268</v>
      </c>
      <c r="AE70" s="9" t="str">
        <f>ROUND('[1]Puntos de control todos los dat'!K62,3)&amp;" - "&amp;ROUND('[1]Puntos de control todos los dat'!K62,3)</f>
        <v>302,69 - 302,69</v>
      </c>
      <c r="AF70" s="39" t="s">
        <v>731</v>
      </c>
      <c r="AG70" s="39" t="s">
        <v>731</v>
      </c>
      <c r="AH70" s="39" t="s">
        <v>731</v>
      </c>
      <c r="AI70" s="39" t="s">
        <v>731</v>
      </c>
      <c r="AJ70" s="39" t="s">
        <v>731</v>
      </c>
      <c r="AK70" s="9"/>
      <c r="AL70" s="1"/>
      <c r="AM70" s="1"/>
      <c r="AN70" s="3" t="s">
        <v>25</v>
      </c>
      <c r="AO70" s="1" t="s">
        <v>205</v>
      </c>
      <c r="AP70" s="1" t="s">
        <v>21</v>
      </c>
      <c r="AQ70" s="1"/>
      <c r="AR70" s="1" t="s">
        <v>22</v>
      </c>
      <c r="AS70" s="1" t="s">
        <v>23</v>
      </c>
      <c r="AT70" s="1"/>
      <c r="AU70" s="1" t="s">
        <v>205</v>
      </c>
      <c r="AV70" s="1" t="s">
        <v>21</v>
      </c>
      <c r="AW70" s="1"/>
      <c r="AX70" s="1"/>
      <c r="AY70" s="1"/>
    </row>
    <row r="71" spans="1:51" x14ac:dyDescent="0.25">
      <c r="A71" s="3" t="s">
        <v>35</v>
      </c>
      <c r="B71" s="1" t="s">
        <v>15</v>
      </c>
      <c r="C71" s="1" t="s">
        <v>269</v>
      </c>
      <c r="D71" s="9" t="str">
        <f>ROUND((MIN('[1]Puntos de control todos los dat'!K2,'[1]Puntos de control todos los dat'!K5,'[1]Puntos de control todos los dat'!K8)+MEDIAN('[1]Puntos de control todos los dat'!K2,'[1]Puntos de control todos los dat'!K5,'[1]Puntos de control todos los dat'!K8))/2,3)&amp;" - "&amp;ROUND((MEDIAN('[1]Puntos de control todos los dat'!K2,'[1]Puntos de control todos los dat'!K5,'[1]Puntos de control todos los dat'!K8)+MAX('[1]Puntos de control todos los dat'!K2,'[1]Puntos de control todos los dat'!K5,'[1]Puntos de control todos los dat'!K8))/2,3)</f>
        <v>279,01 - 285,63</v>
      </c>
      <c r="E71" s="39">
        <v>0.98680566106092305</v>
      </c>
      <c r="F71" s="40">
        <v>-1.9162102839625023E-2</v>
      </c>
      <c r="G71" s="40">
        <v>-1.3194338939076955</v>
      </c>
      <c r="H71" s="40">
        <v>-3.7633333333333212</v>
      </c>
      <c r="I71" s="40">
        <v>-6.6409811476132851E-3</v>
      </c>
      <c r="J71" s="1"/>
      <c r="K71" s="1" t="s">
        <v>15</v>
      </c>
      <c r="L71" s="1" t="s">
        <v>270</v>
      </c>
      <c r="M71" s="9" t="str">
        <f>ROUND((MIN('[1]Puntos de control todos los dat'!K3,'[1]Puntos de control todos los dat'!K6,'[1]Puntos de control todos los dat'!K9)+MEDIAN('[1]Puntos de control todos los dat'!K3,'[1]Puntos de control todos los dat'!K6,'[1]Puntos de control todos los dat'!K9))/2,3)&amp;" - "&amp;ROUND((MEDIAN('[1]Puntos de control todos los dat'!K3,'[1]Puntos de control todos los dat'!K6,'[1]Puntos de control todos los dat'!K9)+MAX('[1]Puntos de control todos los dat'!K3,'[1]Puntos de control todos los dat'!K6,'[1]Puntos de control todos los dat'!K9))/2,3)</f>
        <v>278,915 - 305,88</v>
      </c>
      <c r="N71" s="39">
        <v>1.0812035294762419</v>
      </c>
      <c r="O71" s="39">
        <v>0.11263812652053949</v>
      </c>
      <c r="P71" s="39">
        <v>8.1203529476241876</v>
      </c>
      <c r="Q71" s="39">
        <v>22.225000000000023</v>
      </c>
      <c r="R71" s="39">
        <v>3.9017582051034512E-2</v>
      </c>
      <c r="S71" s="9"/>
      <c r="T71" s="1" t="s">
        <v>15</v>
      </c>
      <c r="U71" s="1" t="s">
        <v>271</v>
      </c>
      <c r="V71" s="9" t="str">
        <f>ROUND((MIN('[1]Puntos de control todos los dat'!K4,'[1]Puntos de control todos los dat'!K7,'[1]Puntos de control todos los dat'!K10)+MEDIAN('[1]Puntos de control todos los dat'!K4,'[1]Puntos de control todos los dat'!K7,'[1]Puntos de control todos los dat'!K10))/2,3)&amp;" - "&amp;ROUND((MEDIAN('[1]Puntos de control todos los dat'!K4,'[1]Puntos de control todos los dat'!K7,'[1]Puntos de control todos los dat'!K10)+MAX('[1]Puntos de control todos los dat'!K4,'[1]Puntos de control todos los dat'!K7,'[1]Puntos de control todos los dat'!K10))/2,3)</f>
        <v>283,51 - 317,57</v>
      </c>
      <c r="W71" s="39">
        <v>1.0930612049002317</v>
      </c>
      <c r="X71" s="39">
        <v>0.12837418557876523</v>
      </c>
      <c r="Y71" s="39">
        <v>9.3061204900231722</v>
      </c>
      <c r="Z71" s="39">
        <v>25.853333333333353</v>
      </c>
      <c r="AA71" s="39">
        <v>4.4461769527980678E-2</v>
      </c>
      <c r="AB71" s="9"/>
      <c r="AC71" s="1" t="s">
        <v>17</v>
      </c>
      <c r="AD71" s="1" t="s">
        <v>272</v>
      </c>
      <c r="AE71" s="9" t="str">
        <f>ROUND((3*MIN('[1]Puntos de control todos los dat'!K63,'[1]Puntos de control todos los dat'!K64)+MAX('[1]Puntos de control todos los dat'!K63,'[1]Puntos de control todos los dat'!K64))/4,3)&amp;" - "&amp;ROUND((MIN('[1]Puntos de control todos los dat'!K63,'[1]Puntos de control todos los dat'!K64)+3*MAX('[1]Puntos de control todos los dat'!K63,'[1]Puntos de control todos los dat'!K64))/4,3)</f>
        <v>263,433 - 274,318</v>
      </c>
      <c r="AF71" s="39">
        <v>0.91996989033924692</v>
      </c>
      <c r="AG71" s="39">
        <v>-0.12034145085803925</v>
      </c>
      <c r="AH71" s="39">
        <v>-8.0030109660753084</v>
      </c>
      <c r="AI71" s="39">
        <v>-23.389999999999986</v>
      </c>
      <c r="AJ71" s="39">
        <v>-4.1683002459279299E-2</v>
      </c>
      <c r="AK71" s="9"/>
      <c r="AL71" s="1"/>
      <c r="AM71" s="1"/>
      <c r="AN71" s="13" t="s">
        <v>35</v>
      </c>
      <c r="AO71" s="27" t="s">
        <v>273</v>
      </c>
      <c r="AP71" s="27" t="s">
        <v>30</v>
      </c>
      <c r="AQ71" s="1"/>
      <c r="AR71" s="1" t="s">
        <v>273</v>
      </c>
      <c r="AS71" s="1" t="s">
        <v>30</v>
      </c>
      <c r="AT71" s="1"/>
      <c r="AU71" s="1" t="s">
        <v>273</v>
      </c>
      <c r="AV71" s="1" t="s">
        <v>30</v>
      </c>
      <c r="AW71" s="1"/>
      <c r="AX71" s="1"/>
      <c r="AY71" s="1"/>
    </row>
    <row r="72" spans="1:51" x14ac:dyDescent="0.25">
      <c r="A72" s="3" t="s">
        <v>42</v>
      </c>
      <c r="B72" s="1" t="s">
        <v>15</v>
      </c>
      <c r="C72" s="1" t="s">
        <v>274</v>
      </c>
      <c r="D72" s="9" t="str">
        <f>ROUND((MIN('[1]Puntos de control todos los dat'!K11,'[1]Puntos de control todos los dat'!K14,'[1]Puntos de control todos los dat'!K17)+MEDIAN('[1]Puntos de control todos los dat'!K11,'[1]Puntos de control todos los dat'!K14,'[1]Puntos de control todos los dat'!K17))/2,3)&amp;" - "&amp;ROUND((MEDIAN('[1]Puntos de control todos los dat'!K11,'[1]Puntos de control todos los dat'!K14,'[1]Puntos de control todos los dat'!K17)+MAX('[1]Puntos de control todos los dat'!K11,'[1]Puntos de control todos los dat'!K14,'[1]Puntos de control todos los dat'!K17))/2,3)</f>
        <v>287,725 - 306,095</v>
      </c>
      <c r="E72" s="39">
        <v>1.0404478361985345</v>
      </c>
      <c r="F72" s="40">
        <v>5.7204636054331549E-2</v>
      </c>
      <c r="G72" s="40">
        <v>4.0447836198534537</v>
      </c>
      <c r="H72" s="40">
        <v>11.53666666666669</v>
      </c>
      <c r="I72" s="40">
        <v>1.9823018986798058E-2</v>
      </c>
      <c r="J72" s="1"/>
      <c r="K72" s="1" t="s">
        <v>15</v>
      </c>
      <c r="L72" s="1" t="s">
        <v>275</v>
      </c>
      <c r="M72" s="9" t="str">
        <f>ROUND((MIN('[1]Puntos de control todos los dat'!K12,'[1]Puntos de control todos los dat'!K15,'[1]Puntos de control todos los dat'!K18)+MEDIAN('[1]Puntos de control todos los dat'!K12,'[1]Puntos de control todos los dat'!K15,'[1]Puntos de control todos los dat'!K18))/2,3)&amp;" - "&amp;ROUND((MEDIAN('[1]Puntos de control todos los dat'!K12,'[1]Puntos de control todos los dat'!K15,'[1]Puntos de control todos los dat'!K18)+MAX('[1]Puntos de control todos los dat'!K12,'[1]Puntos de control todos los dat'!K15,'[1]Puntos de control todos los dat'!K18))/2,3)</f>
        <v>266,61 - 274,845</v>
      </c>
      <c r="N72" s="39">
        <v>0.98737645919728168</v>
      </c>
      <c r="O72" s="39">
        <v>-1.8327845802070062E-2</v>
      </c>
      <c r="P72" s="39">
        <v>-1.2623540802718325</v>
      </c>
      <c r="Q72" s="39">
        <v>-3.4549999999999841</v>
      </c>
      <c r="R72" s="39">
        <v>-6.351861895263192E-3</v>
      </c>
      <c r="S72" s="9"/>
      <c r="T72" s="1" t="s">
        <v>17</v>
      </c>
      <c r="U72" s="1" t="s">
        <v>276</v>
      </c>
      <c r="V72" s="9" t="str">
        <f>ROUND((3*MIN('[1]Puntos de control todos los dat'!K16,'[1]Puntos de control todos los dat'!K19)+MAX('[1]Puntos de control todos los dat'!K16,'[1]Puntos de control todos los dat'!K19))/4,3)&amp;" - "&amp;ROUND((MIN('[1]Puntos de control todos los dat'!K16,'[1]Puntos de control todos los dat'!K19)+3*MAX('[1]Puntos de control todos los dat'!K16,'[1]Puntos de control todos los dat'!K19))/4,3)</f>
        <v>277,923 - 279,828</v>
      </c>
      <c r="W72" s="39">
        <v>1.0038335553075843</v>
      </c>
      <c r="X72" s="39">
        <v>5.5200772179620937E-3</v>
      </c>
      <c r="Y72" s="39">
        <v>0.38335553075843354</v>
      </c>
      <c r="Z72" s="39">
        <v>1.0649999999999977</v>
      </c>
      <c r="AA72" s="39">
        <v>1.913110646056563E-3</v>
      </c>
      <c r="AB72" s="9"/>
      <c r="AC72" s="1" t="s">
        <v>17</v>
      </c>
      <c r="AD72" s="1" t="s">
        <v>277</v>
      </c>
      <c r="AE72" s="9" t="str">
        <f>ROUND((3*MIN('[1]Puntos de control todos los dat'!K65,'[1]Puntos de control todos los dat'!K66)+MAX('[1]Puntos de control todos los dat'!K65,'[1]Puntos de control todos los dat'!K66))/4,3)&amp;" - "&amp;ROUND((MIN('[1]Puntos de control todos los dat'!K65,'[1]Puntos de control todos los dat'!K66)+3*MAX('[1]Puntos de control todos los dat'!K65,'[1]Puntos de control todos los dat'!K66))/4,3)</f>
        <v>301,773 - 303,498</v>
      </c>
      <c r="AF72" s="39">
        <v>1.0354814979556224</v>
      </c>
      <c r="AG72" s="39">
        <v>5.0301775628784247E-2</v>
      </c>
      <c r="AH72" s="39">
        <v>3.5481497955622388</v>
      </c>
      <c r="AI72" s="39">
        <v>10.370000000000005</v>
      </c>
      <c r="AJ72" s="39">
        <v>1.7431501092620618E-2</v>
      </c>
      <c r="AK72" s="9"/>
      <c r="AL72" s="1"/>
      <c r="AM72" s="1"/>
      <c r="AN72" s="3" t="s">
        <v>42</v>
      </c>
      <c r="AO72" s="1" t="s">
        <v>34</v>
      </c>
      <c r="AP72" s="1" t="s">
        <v>21</v>
      </c>
      <c r="AQ72" s="1"/>
      <c r="AR72" s="1" t="s">
        <v>22</v>
      </c>
      <c r="AS72" s="1" t="s">
        <v>23</v>
      </c>
      <c r="AT72" s="1"/>
      <c r="AU72" s="1" t="s">
        <v>24</v>
      </c>
      <c r="AV72" s="1" t="s">
        <v>23</v>
      </c>
      <c r="AW72" s="1"/>
      <c r="AX72" s="1"/>
      <c r="AY72" s="1"/>
    </row>
    <row r="73" spans="1:51" x14ac:dyDescent="0.25">
      <c r="A73" s="3" t="s">
        <v>48</v>
      </c>
      <c r="B73" s="1" t="s">
        <v>15</v>
      </c>
      <c r="C73" s="1" t="s">
        <v>278</v>
      </c>
      <c r="D73" s="9" t="str">
        <f>ROUND((MIN('[1]Puntos de control todos los dat'!K20,'[1]Puntos de control todos los dat'!K23,'[1]Puntos de control todos los dat'!K26)+MEDIAN('[1]Puntos de control todos los dat'!K20,'[1]Puntos de control todos los dat'!K23,'[1]Puntos de control todos los dat'!K26))/2,3)&amp;" - "&amp;ROUND((MEDIAN('[1]Puntos de control todos los dat'!K20,'[1]Puntos de control todos los dat'!K23,'[1]Puntos de control todos los dat'!K26)+MAX('[1]Puntos de control todos los dat'!K20,'[1]Puntos de control todos los dat'!K23,'[1]Puntos de control todos los dat'!K26))/2,3)</f>
        <v>273,48 - 275,355</v>
      </c>
      <c r="E73" s="39">
        <v>0.9616440917643484</v>
      </c>
      <c r="F73" s="40">
        <v>-5.6425049179930922E-2</v>
      </c>
      <c r="G73" s="40">
        <v>-3.8355908235651603</v>
      </c>
      <c r="H73" s="40">
        <v>-10.939999999999998</v>
      </c>
      <c r="I73" s="40">
        <v>-1.9552939494316419E-2</v>
      </c>
      <c r="J73" s="1"/>
      <c r="K73" s="1" t="s">
        <v>15</v>
      </c>
      <c r="L73" s="1" t="s">
        <v>279</v>
      </c>
      <c r="M73" s="9" t="str">
        <f>ROUND((MIN('[1]Puntos de control todos los dat'!K21,'[1]Puntos de control todos los dat'!K24,'[1]Puntos de control todos los dat'!K27)+MEDIAN('[1]Puntos de control todos los dat'!K21,'[1]Puntos de control todos los dat'!K24,'[1]Puntos de control todos los dat'!K27))/2,3)&amp;" - "&amp;ROUND((MEDIAN('[1]Puntos de control todos los dat'!K21,'[1]Puntos de control todos los dat'!K24,'[1]Puntos de control todos los dat'!K27)+MAX('[1]Puntos de control todos los dat'!K21,'[1]Puntos de control todos los dat'!K24,'[1]Puntos de control todos los dat'!K27))/2,3)</f>
        <v>274,6 - 285,78</v>
      </c>
      <c r="N73" s="39">
        <v>1.0201501671568716</v>
      </c>
      <c r="O73" s="39">
        <v>2.8781534026698807E-2</v>
      </c>
      <c r="P73" s="39">
        <v>2.0150167156871568</v>
      </c>
      <c r="Q73" s="39">
        <v>5.5149999999999864</v>
      </c>
      <c r="R73" s="39">
        <v>9.974588762988193E-3</v>
      </c>
      <c r="S73" s="9"/>
      <c r="T73" s="1" t="s">
        <v>17</v>
      </c>
      <c r="U73" s="1" t="s">
        <v>280</v>
      </c>
      <c r="V73" s="9" t="str">
        <f>ROUND((3*MIN('[1]Puntos de control todos los dat'!K22,'[1]Puntos de control todos los dat'!K25)+MAX('[1]Puntos de control todos los dat'!K22,'[1]Puntos de control todos los dat'!K25))/4,3)&amp;" - "&amp;ROUND((MIN('[1]Puntos de control todos los dat'!K22,'[1]Puntos de control todos los dat'!K25)+3*MAX('[1]Puntos de control todos los dat'!K22,'[1]Puntos de control todos los dat'!K25))/4,3)</f>
        <v>280,628 - 281,103</v>
      </c>
      <c r="W73" s="39">
        <v>1.010996724379972</v>
      </c>
      <c r="X73" s="39">
        <v>1.5778322929922803E-2</v>
      </c>
      <c r="Y73" s="39">
        <v>1.0996724379972012</v>
      </c>
      <c r="Z73" s="39">
        <v>3.0550000000000068</v>
      </c>
      <c r="AA73" s="39">
        <v>5.4682955206515546E-3</v>
      </c>
      <c r="AB73" s="9"/>
      <c r="AC73" s="1" t="s">
        <v>17</v>
      </c>
      <c r="AD73" s="1" t="s">
        <v>281</v>
      </c>
      <c r="AE73" s="9" t="str">
        <f>ROUND((3*MIN('[1]Puntos de control todos los dat'!K67,'[1]Puntos de control todos los dat'!K68)+MAX('[1]Puntos de control todos los dat'!K67,'[1]Puntos de control todos los dat'!K68))/4,3)&amp;" - "&amp;ROUND((MIN('[1]Puntos de control todos los dat'!K67,'[1]Puntos de control todos los dat'!K68)+3*MAX('[1]Puntos de control todos los dat'!K67,'[1]Puntos de control todos los dat'!K68))/4,3)</f>
        <v>298,213 - 310,818</v>
      </c>
      <c r="AF73" s="39">
        <v>1.0419140163892358</v>
      </c>
      <c r="AG73" s="39">
        <v>5.9236224596054599E-2</v>
      </c>
      <c r="AH73" s="39">
        <v>4.1914016389235753</v>
      </c>
      <c r="AI73" s="39">
        <v>12.25</v>
      </c>
      <c r="AJ73" s="39">
        <v>2.0526827306545127E-2</v>
      </c>
      <c r="AK73" s="9"/>
      <c r="AL73" s="1"/>
      <c r="AM73" s="1"/>
      <c r="AN73" s="19" t="s">
        <v>48</v>
      </c>
      <c r="AO73" s="30" t="s">
        <v>22</v>
      </c>
      <c r="AP73" s="30" t="s">
        <v>23</v>
      </c>
      <c r="AQ73" s="1"/>
      <c r="AR73" s="1" t="s">
        <v>22</v>
      </c>
      <c r="AS73" s="1" t="s">
        <v>23</v>
      </c>
      <c r="AT73" s="1"/>
      <c r="AU73" s="1" t="s">
        <v>24</v>
      </c>
      <c r="AV73" s="1" t="s">
        <v>23</v>
      </c>
      <c r="AW73" s="1"/>
      <c r="AX73" s="1"/>
      <c r="AY73" s="1"/>
    </row>
    <row r="74" spans="1:51" x14ac:dyDescent="0.25">
      <c r="A74" s="3" t="s">
        <v>54</v>
      </c>
      <c r="B74" s="1" t="s">
        <v>15</v>
      </c>
      <c r="C74" s="1" t="s">
        <v>282</v>
      </c>
      <c r="D74" s="9" t="str">
        <f>ROUND((MIN('[1]Puntos de control todos los dat'!K29,'[1]Puntos de control todos los dat'!K32,'[1]Puntos de control todos los dat'!K35)+MEDIAN('[1]Puntos de control todos los dat'!K29,'[1]Puntos de control todos los dat'!K32,'[1]Puntos de control todos los dat'!K35))/2,3)&amp;" - "&amp;ROUND((MEDIAN('[1]Puntos de control todos los dat'!K29,'[1]Puntos de control todos los dat'!K32,'[1]Puntos de control todos los dat'!K35)+MAX('[1]Puntos de control todos los dat'!K29,'[1]Puntos de control todos los dat'!K32,'[1]Puntos de control todos los dat'!K35))/2,3)</f>
        <v>282,66 - 312,795</v>
      </c>
      <c r="E74" s="39">
        <v>1.0571715731532016</v>
      </c>
      <c r="F74" s="40">
        <v>8.0209537222004967E-2</v>
      </c>
      <c r="G74" s="40">
        <v>5.7171573153201649</v>
      </c>
      <c r="H74" s="40">
        <v>16.306666666666672</v>
      </c>
      <c r="I74" s="40">
        <v>2.7791349005260594E-2</v>
      </c>
      <c r="J74" s="1"/>
      <c r="K74" s="1" t="s">
        <v>15</v>
      </c>
      <c r="L74" s="1" t="s">
        <v>283</v>
      </c>
      <c r="M74" s="9" t="str">
        <f>ROUND((MIN('[1]Puntos de control todos los dat'!K30,'[1]Puntos de control todos los dat'!K33,'[1]Puntos de control todos los dat'!K36)+MEDIAN('[1]Puntos de control todos los dat'!K30,'[1]Puntos de control todos los dat'!K33,'[1]Puntos de control todos los dat'!K36))/2,3)&amp;" - "&amp;ROUND((MEDIAN('[1]Puntos de control todos los dat'!K30,'[1]Puntos de control todos los dat'!K33,'[1]Puntos de control todos los dat'!K36)+MAX('[1]Puntos de control todos los dat'!K30,'[1]Puntos de control todos los dat'!K33,'[1]Puntos de control todos los dat'!K36))/2,3)</f>
        <v>282,305 - 377,455</v>
      </c>
      <c r="N74" s="39">
        <v>1.2589561373061255</v>
      </c>
      <c r="O74" s="39">
        <v>0.33222801967862708</v>
      </c>
      <c r="P74" s="39">
        <v>25.895613730612553</v>
      </c>
      <c r="Q74" s="39">
        <v>70.875</v>
      </c>
      <c r="R74" s="39">
        <v>0.11463531010165544</v>
      </c>
      <c r="S74" s="9"/>
      <c r="T74" s="1" t="s">
        <v>15</v>
      </c>
      <c r="U74" s="1" t="s">
        <v>284</v>
      </c>
      <c r="V74" s="9" t="str">
        <f>ROUND((MIN('[1]Puntos de control todos los dat'!K31,'[1]Puntos de control todos los dat'!K34,'[1]Puntos de control todos los dat'!K37)+MEDIAN('[1]Puntos de control todos los dat'!K31,'[1]Puntos de control todos los dat'!K34,'[1]Puntos de control todos los dat'!K37))/2,3)&amp;" - "&amp;ROUND((MEDIAN('[1]Puntos de control todos los dat'!K31,'[1]Puntos de control todos los dat'!K34,'[1]Puntos de control todos los dat'!K37)+MAX('[1]Puntos de control todos los dat'!K31,'[1]Puntos de control todos los dat'!K34,'[1]Puntos de control todos los dat'!K37))/2,3)</f>
        <v>276,42 - 279,62</v>
      </c>
      <c r="W74" s="39">
        <v>0.99988001391838532</v>
      </c>
      <c r="X74" s="39">
        <v>-1.7311371074680513E-4</v>
      </c>
      <c r="Y74" s="39">
        <v>-1.1998608161467583E-2</v>
      </c>
      <c r="Z74" s="39">
        <v>-3.333333333335986E-2</v>
      </c>
      <c r="AA74" s="39">
        <v>-5.9996640188197219E-5</v>
      </c>
      <c r="AB74" s="9"/>
      <c r="AC74" s="1" t="s">
        <v>17</v>
      </c>
      <c r="AD74" s="1" t="s">
        <v>285</v>
      </c>
      <c r="AE74" s="9" t="str">
        <f>ROUND((3*MIN('[1]Puntos de control todos los dat'!K69,'[1]Puntos de control todos los dat'!K70)+MAX('[1]Puntos de control todos los dat'!K69,'[1]Puntos de control todos los dat'!K70))/4,3)&amp;" - "&amp;ROUND((MIN('[1]Puntos de control todos los dat'!K69,'[1]Puntos de control todos los dat'!K70)+3*MAX('[1]Puntos de control todos los dat'!K69,'[1]Puntos de control todos los dat'!K70))/4,3)</f>
        <v>285,625 - 297,195</v>
      </c>
      <c r="AF74" s="39">
        <v>0.99707457273364919</v>
      </c>
      <c r="AG74" s="39">
        <v>-4.2266848580026313E-3</v>
      </c>
      <c r="AH74" s="39">
        <v>-0.29254272663508107</v>
      </c>
      <c r="AI74" s="39">
        <v>-0.85500000000001819</v>
      </c>
      <c r="AJ74" s="39">
        <v>-1.4648562984537941E-3</v>
      </c>
      <c r="AK74" s="9"/>
      <c r="AL74" s="1"/>
      <c r="AM74" s="1"/>
      <c r="AN74" s="3" t="s">
        <v>54</v>
      </c>
      <c r="AO74" s="1" t="s">
        <v>96</v>
      </c>
      <c r="AP74" s="1" t="s">
        <v>13</v>
      </c>
      <c r="AQ74" s="1"/>
      <c r="AR74" s="1" t="s">
        <v>96</v>
      </c>
      <c r="AS74" s="1" t="s">
        <v>13</v>
      </c>
      <c r="AT74" s="1"/>
      <c r="AU74" s="1" t="s">
        <v>53</v>
      </c>
      <c r="AV74" s="1" t="s">
        <v>30</v>
      </c>
      <c r="AW74" s="1"/>
      <c r="AX74" s="1"/>
      <c r="AY74" s="1"/>
    </row>
    <row r="75" spans="1:51" x14ac:dyDescent="0.25">
      <c r="A75" s="3" t="s">
        <v>59</v>
      </c>
      <c r="B75" s="1" t="s">
        <v>17</v>
      </c>
      <c r="C75" s="1" t="s">
        <v>286</v>
      </c>
      <c r="D75" s="9" t="str">
        <f>ROUND((3*MIN('[1]Puntos de control todos los dat'!K47,'[1]Puntos de control todos los dat'!K50)+MAX('[1]Puntos de control todos los dat'!K47,'[1]Puntos de control todos los dat'!K50))/4,3)&amp;" - "&amp;ROUND((MIN('[1]Puntos de control todos los dat'!K47,'[1]Puntos de control todos los dat'!K50)+3*MAX('[1]Puntos de control todos los dat'!K47,'[1]Puntos de control todos los dat'!K50))/4,3)</f>
        <v>280,005 - 315,415</v>
      </c>
      <c r="E75" s="39">
        <v>1.0437785594913929</v>
      </c>
      <c r="F75" s="40">
        <v>6.1815672626605409E-2</v>
      </c>
      <c r="G75" s="40">
        <v>4.3778559491392866</v>
      </c>
      <c r="H75" s="40">
        <v>12.486666666666736</v>
      </c>
      <c r="I75" s="40">
        <v>2.142040256175675E-2</v>
      </c>
      <c r="J75" s="1"/>
      <c r="K75" s="1" t="s">
        <v>17</v>
      </c>
      <c r="L75" s="1" t="s">
        <v>287</v>
      </c>
      <c r="M75" s="9" t="str">
        <f>ROUND((3*MIN('[1]Puntos de control todos los dat'!K48,'[1]Puntos de control todos los dat'!K51)+MAX('[1]Puntos de control todos los dat'!K48,'[1]Puntos de control todos los dat'!K51))/4,3)&amp;" - "&amp;ROUND((MIN('[1]Puntos de control todos los dat'!K48,'[1]Puntos de control todos los dat'!K51)+3*MAX('[1]Puntos de control todos los dat'!K48,'[1]Puntos de control todos los dat'!K51))/4,3)</f>
        <v>288,47 - 318,47</v>
      </c>
      <c r="N75" s="39">
        <v>1.1087889804344253</v>
      </c>
      <c r="O75" s="39">
        <v>0.1489848246083211</v>
      </c>
      <c r="P75" s="39">
        <v>10.878898043442531</v>
      </c>
      <c r="Q75" s="39">
        <v>29.775000000000034</v>
      </c>
      <c r="R75" s="39">
        <v>5.1588367277988156E-2</v>
      </c>
      <c r="S75" s="9"/>
      <c r="T75" s="1" t="s">
        <v>17</v>
      </c>
      <c r="U75" s="1" t="s">
        <v>288</v>
      </c>
      <c r="V75" s="9" t="str">
        <f>ROUND((3*MIN('[1]Puntos de control todos los dat'!K49,'[1]Puntos de control todos los dat'!K52)+MAX('[1]Puntos de control todos los dat'!K49,'[1]Puntos de control todos los dat'!K52))/4,3)&amp;" - "&amp;ROUND((MIN('[1]Puntos de control todos los dat'!K49,'[1]Puntos de control todos los dat'!K52)+3*MAX('[1]Puntos de control todos los dat'!K49,'[1]Puntos de control todos los dat'!K52))/4,3)</f>
        <v>324,853 - 334,258</v>
      </c>
      <c r="W75" s="39">
        <v>1.1862603937943197</v>
      </c>
      <c r="X75" s="39">
        <v>0.24642072792906441</v>
      </c>
      <c r="Y75" s="39">
        <v>18.626039379431969</v>
      </c>
      <c r="Z75" s="39">
        <v>51.744999999999948</v>
      </c>
      <c r="AA75" s="39">
        <v>8.5195887151877286E-2</v>
      </c>
      <c r="AB75" s="9"/>
      <c r="AC75" s="1" t="s">
        <v>63</v>
      </c>
      <c r="AD75" s="1" t="s">
        <v>63</v>
      </c>
      <c r="AE75" s="9" t="s">
        <v>63</v>
      </c>
      <c r="AF75" s="39" t="s">
        <v>731</v>
      </c>
      <c r="AG75" s="39" t="s">
        <v>731</v>
      </c>
      <c r="AH75" s="39" t="s">
        <v>731</v>
      </c>
      <c r="AI75" s="39" t="s">
        <v>731</v>
      </c>
      <c r="AJ75" s="39" t="s">
        <v>731</v>
      </c>
      <c r="AK75" s="9"/>
      <c r="AL75" s="1"/>
      <c r="AM75" s="1"/>
      <c r="AN75" s="3" t="s">
        <v>59</v>
      </c>
      <c r="AO75" s="3" t="s">
        <v>63</v>
      </c>
      <c r="AP75" s="3" t="s">
        <v>63</v>
      </c>
      <c r="AQ75" s="3"/>
      <c r="AR75" s="3" t="s">
        <v>63</v>
      </c>
      <c r="AS75" s="3" t="s">
        <v>63</v>
      </c>
      <c r="AT75" s="3"/>
      <c r="AU75" s="3" t="s">
        <v>63</v>
      </c>
      <c r="AV75" s="3" t="s">
        <v>63</v>
      </c>
      <c r="AW75" s="1"/>
      <c r="AX75" s="1"/>
      <c r="AY75" s="1"/>
    </row>
    <row r="76" spans="1:51" x14ac:dyDescent="0.25">
      <c r="A76" s="3" t="s">
        <v>64</v>
      </c>
      <c r="B76" s="1" t="s">
        <v>17</v>
      </c>
      <c r="C76" s="1" t="s">
        <v>289</v>
      </c>
      <c r="D76" s="9" t="str">
        <f>ROUND((3*MIN('[1]Puntos de control todos los dat'!K53,'[1]Puntos de control todos los dat'!K56)+MAX('[1]Puntos de control todos los dat'!K53,'[1]Puntos de control todos los dat'!K56))/4,3)&amp;" - "&amp;ROUND((MIN('[1]Puntos de control todos los dat'!K53,'[1]Puntos de control todos los dat'!K56)+3*MAX('[1]Puntos de control todos los dat'!K53,'[1]Puntos de control todos los dat'!K56))/4,3)</f>
        <v>275,22 - 288,08</v>
      </c>
      <c r="E76" s="39">
        <v>0.98747180571949467</v>
      </c>
      <c r="F76" s="40">
        <v>-1.8188537929851971E-2</v>
      </c>
      <c r="G76" s="40">
        <v>-1.2528194280505334</v>
      </c>
      <c r="H76" s="40">
        <v>-3.5733333333333235</v>
      </c>
      <c r="I76" s="40">
        <v>-6.3035833989956444E-3</v>
      </c>
      <c r="J76" s="1"/>
      <c r="K76" s="1" t="s">
        <v>17</v>
      </c>
      <c r="L76" s="1" t="s">
        <v>290</v>
      </c>
      <c r="M76" s="9" t="str">
        <f>ROUND((3*MIN('[1]Puntos de control todos los dat'!K54,'[1]Puntos de control todos los dat'!K57)+MAX('[1]Puntos de control todos los dat'!K54,'[1]Puntos de control todos los dat'!K57))/4,3)&amp;" - "&amp;ROUND((MIN('[1]Puntos de control todos los dat'!K54,'[1]Puntos de control todos los dat'!K57)+3*MAX('[1]Puntos de control todos los dat'!K54,'[1]Puntos de control todos los dat'!K57))/4,3)</f>
        <v>280,52 - 280,56</v>
      </c>
      <c r="N76" s="39">
        <v>1.0250095909680483</v>
      </c>
      <c r="O76" s="39">
        <v>3.5637409025653155E-2</v>
      </c>
      <c r="P76" s="39">
        <v>2.5009590968048334</v>
      </c>
      <c r="Q76" s="39">
        <v>6.8449999999999704</v>
      </c>
      <c r="R76" s="39">
        <v>1.2350356798109054E-2</v>
      </c>
      <c r="S76" s="9"/>
      <c r="T76" s="1" t="s">
        <v>17</v>
      </c>
      <c r="U76" s="1" t="s">
        <v>291</v>
      </c>
      <c r="V76" s="9" t="str">
        <f>ROUND((3*MIN('[1]Puntos de control todos los dat'!K55,'[1]Puntos de control todos los dat'!K58)+MAX('[1]Puntos de control todos los dat'!K55,'[1]Puntos de control todos los dat'!K58))/4,3)&amp;" - "&amp;ROUND((MIN('[1]Puntos de control todos los dat'!K55,'[1]Puntos de control todos los dat'!K58)+3*MAX('[1]Puntos de control todos los dat'!K55,'[1]Puntos de control todos los dat'!K58))/4,3)</f>
        <v>293,6 - 321,5</v>
      </c>
      <c r="W76" s="39">
        <v>1.1070515820164859</v>
      </c>
      <c r="X76" s="39">
        <v>0.1467224446900694</v>
      </c>
      <c r="Y76" s="39">
        <v>10.70515820164859</v>
      </c>
      <c r="Z76" s="39">
        <v>29.739999999999952</v>
      </c>
      <c r="AA76" s="39">
        <v>5.080634139674723E-2</v>
      </c>
      <c r="AB76" s="9"/>
      <c r="AC76" s="1" t="s">
        <v>63</v>
      </c>
      <c r="AD76" s="1" t="s">
        <v>63</v>
      </c>
      <c r="AE76" s="9" t="s">
        <v>63</v>
      </c>
      <c r="AF76" s="39" t="s">
        <v>731</v>
      </c>
      <c r="AG76" s="39" t="s">
        <v>731</v>
      </c>
      <c r="AH76" s="39" t="s">
        <v>731</v>
      </c>
      <c r="AI76" s="39" t="s">
        <v>731</v>
      </c>
      <c r="AJ76" s="39" t="s">
        <v>731</v>
      </c>
      <c r="AK76" s="9"/>
      <c r="AL76" s="1"/>
      <c r="AM76" s="1"/>
      <c r="AN76" s="3" t="s">
        <v>64</v>
      </c>
      <c r="AO76" s="3" t="s">
        <v>63</v>
      </c>
      <c r="AP76" s="3" t="s">
        <v>63</v>
      </c>
      <c r="AQ76" s="3"/>
      <c r="AR76" s="3" t="s">
        <v>63</v>
      </c>
      <c r="AS76" s="3" t="s">
        <v>63</v>
      </c>
      <c r="AT76" s="3"/>
      <c r="AU76" s="3" t="s">
        <v>63</v>
      </c>
      <c r="AV76" s="3" t="s">
        <v>63</v>
      </c>
      <c r="AW76" s="1"/>
      <c r="AX76" s="1"/>
      <c r="AY76" s="1"/>
    </row>
    <row r="77" spans="1:51" x14ac:dyDescent="0.25">
      <c r="A77" s="20" t="s">
        <v>292</v>
      </c>
      <c r="B77" s="1"/>
      <c r="C77" s="1"/>
      <c r="D77" s="9"/>
      <c r="E77" s="9"/>
      <c r="F77" s="1"/>
      <c r="G77" s="1"/>
      <c r="H77" s="1"/>
      <c r="I77" s="1"/>
      <c r="J77" s="1"/>
      <c r="K77" s="1"/>
      <c r="L77" s="1"/>
      <c r="M77" s="9"/>
      <c r="N77" s="9"/>
      <c r="O77" s="9"/>
      <c r="S77" s="9"/>
      <c r="T77" s="1"/>
      <c r="U77" s="1"/>
      <c r="V77" s="9"/>
      <c r="W77" s="9"/>
      <c r="X77" s="9"/>
      <c r="AB77" s="9"/>
      <c r="AC77" s="1"/>
      <c r="AD77" s="1"/>
      <c r="AE77" s="9"/>
      <c r="AF77" s="9"/>
      <c r="AG77" s="9"/>
      <c r="AK77" s="9"/>
      <c r="AL77" s="1"/>
      <c r="AM77" s="1"/>
      <c r="AN77" s="1" t="s">
        <v>292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3" t="s">
        <v>14</v>
      </c>
      <c r="B78" s="1" t="s">
        <v>15</v>
      </c>
      <c r="C78" s="1" t="s">
        <v>293</v>
      </c>
      <c r="D78" s="9" t="str">
        <f>ROUND((MIN('[1]Puntos de control todos los dat'!L38,'[1]Puntos de control todos los dat'!L41,'[1]Puntos de control todos los dat'!L44)+MEDIAN('[1]Puntos de control todos los dat'!L38,'[1]Puntos de control todos los dat'!L41,'[1]Puntos de control todos los dat'!L44))/2,3)&amp;" - "&amp;ROUND((MEDIAN('[1]Puntos de control todos los dat'!L38,'[1]Puntos de control todos los dat'!L41,'[1]Puntos de control todos los dat'!L44)+MAX('[1]Puntos de control todos los dat'!L38,'[1]Puntos de control todos los dat'!L41,'[1]Puntos de control todos los dat'!L44))/2,3)</f>
        <v>212,395 - 215,905</v>
      </c>
      <c r="E78" s="39">
        <v>1</v>
      </c>
      <c r="F78" s="40">
        <v>0</v>
      </c>
      <c r="G78" s="40">
        <v>0</v>
      </c>
      <c r="H78" s="40">
        <v>0</v>
      </c>
      <c r="I78" s="40">
        <v>0</v>
      </c>
      <c r="J78" s="1"/>
      <c r="K78" s="1" t="s">
        <v>15</v>
      </c>
      <c r="L78" s="1" t="s">
        <v>294</v>
      </c>
      <c r="M78" s="9" t="str">
        <f>ROUND((MIN('[1]Puntos de control todos los dat'!L39,'[1]Puntos de control todos los dat'!L42,'[1]Puntos de control todos los dat'!L45)+MEDIAN('[1]Puntos de control todos los dat'!L39,'[1]Puntos de control todos los dat'!L42,'[1]Puntos de control todos los dat'!L45))/2,3)&amp;" - "&amp;ROUND((MEDIAN('[1]Puntos de control todos los dat'!L39,'[1]Puntos de control todos los dat'!L42,'[1]Puntos de control todos los dat'!L45)+MAX('[1]Puntos de control todos los dat'!L39,'[1]Puntos de control todos los dat'!L42,'[1]Puntos de control todos los dat'!L45))/2,3)</f>
        <v>234,58 - 290,775</v>
      </c>
      <c r="N78" s="39">
        <v>1</v>
      </c>
      <c r="O78" s="39">
        <v>0</v>
      </c>
      <c r="P78" s="39">
        <v>0</v>
      </c>
      <c r="Q78" s="39">
        <v>0</v>
      </c>
      <c r="R78" s="39">
        <v>0</v>
      </c>
      <c r="S78" s="9"/>
      <c r="T78" s="1" t="s">
        <v>15</v>
      </c>
      <c r="U78" s="1" t="s">
        <v>295</v>
      </c>
      <c r="V78" s="9" t="str">
        <f>ROUND((MIN('[1]Puntos de control todos los dat'!L40,'[1]Puntos de control todos los dat'!L43,'[1]Puntos de control todos los dat'!L46)+MEDIAN('[1]Puntos de control todos los dat'!L40,'[1]Puntos de control todos los dat'!L43,'[1]Puntos de control todos los dat'!L46))/2,3)&amp;" - "&amp;ROUND((MEDIAN('[1]Puntos de control todos los dat'!L40,'[1]Puntos de control todos los dat'!L43,'[1]Puntos de control todos los dat'!L46)+MAX('[1]Puntos de control todos los dat'!L40,'[1]Puntos de control todos los dat'!L43,'[1]Puntos de control todos los dat'!L46))/2,3)</f>
        <v>251,915 - 255</v>
      </c>
      <c r="W78" s="39">
        <v>1</v>
      </c>
      <c r="X78" s="39">
        <v>0</v>
      </c>
      <c r="Y78" s="39">
        <v>0</v>
      </c>
      <c r="Z78" s="39">
        <v>0</v>
      </c>
      <c r="AA78" s="39">
        <v>0</v>
      </c>
      <c r="AB78" s="9"/>
      <c r="AC78" s="1" t="s">
        <v>17</v>
      </c>
      <c r="AD78" s="1" t="s">
        <v>296</v>
      </c>
      <c r="AE78" s="9" t="str">
        <f>ROUND((3*MIN('[1]Puntos de control todos los dat'!L59,'[1]Puntos de control todos los dat'!L60)+MAX('[1]Puntos de control todos los dat'!L59,'[1]Puntos de control todos los dat'!L60))/4,3)&amp;" - "&amp;ROUND((MIN('[1]Puntos de control todos los dat'!L59,'[1]Puntos de control todos los dat'!L60)+3*MAX('[1]Puntos de control todos los dat'!L59,'[1]Puntos de control todos los dat'!L60))/4,3)</f>
        <v>435,28 - 725,16</v>
      </c>
      <c r="AF78" s="39">
        <v>1</v>
      </c>
      <c r="AG78" s="39">
        <v>0</v>
      </c>
      <c r="AH78" s="39">
        <v>0</v>
      </c>
      <c r="AI78" s="39">
        <v>0</v>
      </c>
      <c r="AJ78" s="39">
        <v>0</v>
      </c>
      <c r="AK78" s="9"/>
      <c r="AL78" s="1"/>
      <c r="AM78" s="1"/>
      <c r="AN78" s="3" t="s">
        <v>14</v>
      </c>
      <c r="AO78" s="1" t="s">
        <v>22</v>
      </c>
      <c r="AP78" s="1" t="s">
        <v>23</v>
      </c>
      <c r="AQ78" s="1"/>
      <c r="AR78" s="1" t="s">
        <v>53</v>
      </c>
      <c r="AS78" s="1" t="s">
        <v>30</v>
      </c>
      <c r="AT78" s="1"/>
      <c r="AU78" s="1" t="s">
        <v>22</v>
      </c>
      <c r="AV78" s="1" t="s">
        <v>23</v>
      </c>
      <c r="AW78" s="1"/>
      <c r="AX78" s="1"/>
      <c r="AY78" s="1"/>
    </row>
    <row r="79" spans="1:51" x14ac:dyDescent="0.25">
      <c r="A79" s="3" t="s">
        <v>25</v>
      </c>
      <c r="B79" s="1" t="s">
        <v>17</v>
      </c>
      <c r="C79" s="1" t="s">
        <v>297</v>
      </c>
      <c r="D79" s="9" t="str">
        <f>ROUND((3*MIN('[1]Puntos de control todos los dat'!L74,'[1]Puntos de control todos los dat'!L77)+MAX('[1]Puntos de control todos los dat'!L74,'[1]Puntos de control todos los dat'!L77))/4,3)&amp;" - "&amp;ROUND((MIN('[1]Puntos de control todos los dat'!L74,'[1]Puntos de control todos los dat'!L77)+3*MAX('[1]Puntos de control todos los dat'!L74,'[1]Puntos de control todos los dat'!L77))/4,3)</f>
        <v>348,08 - 641,16</v>
      </c>
      <c r="E79" s="39">
        <v>2.3126051991771086</v>
      </c>
      <c r="F79" s="40">
        <v>1.2095189945496383</v>
      </c>
      <c r="G79" s="40">
        <v>131.26051991771087</v>
      </c>
      <c r="H79" s="40">
        <v>280.74</v>
      </c>
      <c r="I79" s="40">
        <v>0.39624558927311221</v>
      </c>
      <c r="J79" s="1"/>
      <c r="K79" s="1" t="s">
        <v>17</v>
      </c>
      <c r="L79" s="1" t="s">
        <v>298</v>
      </c>
      <c r="M79" s="9" t="str">
        <f>ROUND((3*MIN('[1]Puntos de control todos los dat'!L72,'[1]Puntos de control todos los dat'!L78)+MAX('[1]Puntos de control todos los dat'!L72,'[1]Puntos de control todos los dat'!L78))/4,3)&amp;" - "&amp;ROUND((MIN('[1]Puntos de control todos los dat'!L72,'[1]Puntos de control todos los dat'!L78)+3*MAX('[1]Puntos de control todos los dat'!L72,'[1]Puntos de control todos los dat'!L78))/4,3)</f>
        <v>248,028 - 264,263</v>
      </c>
      <c r="N79" s="39">
        <v>0.96558895227564001</v>
      </c>
      <c r="O79" s="39">
        <v>-5.0518925203216825E-2</v>
      </c>
      <c r="P79" s="39">
        <v>-3.4411047724359989</v>
      </c>
      <c r="Q79" s="39">
        <v>-9.1283333333333871</v>
      </c>
      <c r="R79" s="39">
        <v>-1.7506736433637843E-2</v>
      </c>
      <c r="S79" s="9"/>
      <c r="T79" s="1" t="s">
        <v>15</v>
      </c>
      <c r="U79" s="1" t="s">
        <v>299</v>
      </c>
      <c r="V79" s="9" t="str">
        <f>ROUND((MIN('[1]Puntos de control todos los dat'!L73,'[1]Puntos de control todos los dat'!L76,'[1]Puntos de control todos los dat'!L79)+MEDIAN('[1]Puntos de control todos los dat'!L73,'[1]Puntos de control todos los dat'!L76,'[1]Puntos de control todos los dat'!L79))/2,3)&amp;" - "&amp;ROUND((MEDIAN('[1]Puntos de control todos los dat'!L73,'[1]Puntos de control todos los dat'!L76,'[1]Puntos de control todos los dat'!L79)+MAX('[1]Puntos de control todos los dat'!L73,'[1]Puntos de control todos los dat'!L76,'[1]Puntos de control todos los dat'!L79))/2,3)</f>
        <v>237,665 - 278,975</v>
      </c>
      <c r="W79" s="39">
        <v>1.0233283334649088</v>
      </c>
      <c r="X79" s="39">
        <v>3.3269106044002635E-2</v>
      </c>
      <c r="Y79" s="39">
        <v>2.3328333464908813</v>
      </c>
      <c r="Z79" s="39">
        <v>5.9099999999999966</v>
      </c>
      <c r="AA79" s="39">
        <v>1.1529682592325242E-2</v>
      </c>
      <c r="AB79" s="9"/>
      <c r="AC79" s="1" t="s">
        <v>17</v>
      </c>
      <c r="AD79" s="1" t="s">
        <v>300</v>
      </c>
      <c r="AE79" s="9" t="str">
        <f>ROUND((3*MIN('[1]Puntos de control todos los dat'!L61,'[1]Puntos de control todos los dat'!L62)+MAX('[1]Puntos de control todos los dat'!L61,'[1]Puntos de control todos los dat'!L62))/4,3)&amp;" - "&amp;ROUND((MIN('[1]Puntos de control todos los dat'!L61,'[1]Puntos de control todos los dat'!L62)+3*MAX('[1]Puntos de control todos los dat'!L61,'[1]Puntos de control todos los dat'!L62))/4,3)</f>
        <v>212,808 - 215,743</v>
      </c>
      <c r="AF79" s="39">
        <v>0.36929957602288788</v>
      </c>
      <c r="AG79" s="39">
        <v>-1.437136488639607</v>
      </c>
      <c r="AH79" s="39">
        <v>-63.070042397711212</v>
      </c>
      <c r="AI79" s="39">
        <v>-365.94500000000005</v>
      </c>
      <c r="AJ79" s="39">
        <v>-0.46060075897268082</v>
      </c>
      <c r="AK79" s="9"/>
      <c r="AL79" s="1"/>
      <c r="AM79" s="1"/>
      <c r="AN79" s="3" t="s">
        <v>25</v>
      </c>
      <c r="AO79" s="1" t="s">
        <v>96</v>
      </c>
      <c r="AP79" s="1" t="s">
        <v>13</v>
      </c>
      <c r="AQ79" s="1"/>
      <c r="AR79" s="1" t="s">
        <v>79</v>
      </c>
      <c r="AS79" s="1" t="s">
        <v>23</v>
      </c>
      <c r="AT79" s="1"/>
      <c r="AU79" s="1" t="s">
        <v>237</v>
      </c>
      <c r="AV79" s="1" t="s">
        <v>23</v>
      </c>
      <c r="AW79" s="1"/>
      <c r="AX79" s="1"/>
      <c r="AY79" s="1"/>
    </row>
    <row r="80" spans="1:51" x14ac:dyDescent="0.25">
      <c r="A80" s="3" t="s">
        <v>35</v>
      </c>
      <c r="B80" s="1" t="s">
        <v>17</v>
      </c>
      <c r="C80" s="1" t="s">
        <v>301</v>
      </c>
      <c r="D80" s="9" t="str">
        <f>ROUND((3*MIN('[1]Puntos de control todos los dat'!L2,'[1]Puntos de control todos los dat'!L5)+MAX('[1]Puntos de control todos los dat'!L2,'[1]Puntos de control todos los dat'!L5))/4,3)&amp;" - "&amp;ROUND((MIN('[1]Puntos de control todos los dat'!L2,'[1]Puntos de control todos los dat'!L5)+3*MAX('[1]Puntos de control todos los dat'!L2,'[1]Puntos de control todos los dat'!L5))/4,3)</f>
        <v>252,825 - 254,435</v>
      </c>
      <c r="E80" s="39">
        <v>1.185851879558631</v>
      </c>
      <c r="F80" s="40">
        <v>0.24592381935150034</v>
      </c>
      <c r="G80" s="40">
        <v>18.585187955863102</v>
      </c>
      <c r="H80" s="40">
        <v>39.75</v>
      </c>
      <c r="I80" s="40">
        <v>8.5024919253064102E-2</v>
      </c>
      <c r="J80" s="1"/>
      <c r="K80" s="1" t="s">
        <v>15</v>
      </c>
      <c r="L80" s="1" t="s">
        <v>302</v>
      </c>
      <c r="M80" s="9" t="str">
        <f>ROUND((MIN('[1]Puntos de control todos los dat'!L3,'[1]Puntos de control todos los dat'!L6,'[1]Puntos de control todos los dat'!L9)+MEDIAN('[1]Puntos de control todos los dat'!L3,'[1]Puntos de control todos los dat'!L6,'[1]Puntos de control todos los dat'!L9))/2,3)&amp;" - "&amp;ROUND((MEDIAN('[1]Puntos de control todos los dat'!L3,'[1]Puntos de control todos los dat'!L6,'[1]Puntos de control todos los dat'!L9)+MAX('[1]Puntos de control todos los dat'!L3,'[1]Puntos de control todos los dat'!L6,'[1]Puntos de control todos los dat'!L9))/2,3)</f>
        <v>230,93 - 252,075</v>
      </c>
      <c r="N80" s="39">
        <v>0.9106707546932723</v>
      </c>
      <c r="O80" s="39">
        <v>-0.1349985407800415</v>
      </c>
      <c r="P80" s="39">
        <v>-8.9329245306727696</v>
      </c>
      <c r="Q80" s="39">
        <v>-23.696666666666687</v>
      </c>
      <c r="R80" s="39">
        <v>-4.6752819703396835E-2</v>
      </c>
      <c r="S80" s="9"/>
      <c r="T80" s="1" t="s">
        <v>15</v>
      </c>
      <c r="U80" s="1" t="s">
        <v>303</v>
      </c>
      <c r="V80" s="9" t="str">
        <f>ROUND((MIN('[1]Puntos de control todos los dat'!L4,'[1]Puntos de control todos los dat'!L7,'[1]Puntos de control todos los dat'!L10)+MEDIAN('[1]Puntos de control todos los dat'!L4,'[1]Puntos de control todos los dat'!L7,'[1]Puntos de control todos los dat'!L10))/2,3)&amp;" - "&amp;ROUND((MEDIAN('[1]Puntos de control todos los dat'!L4,'[1]Puntos de control todos los dat'!L7,'[1]Puntos de control todos los dat'!L10)+MAX('[1]Puntos de control todos los dat'!L4,'[1]Puntos de control todos los dat'!L7,'[1]Puntos de control todos los dat'!L10))/2,3)</f>
        <v>259,22 - 282,015</v>
      </c>
      <c r="W80" s="39">
        <v>1.0641298913186494</v>
      </c>
      <c r="X80" s="39">
        <v>8.9674261857764725E-2</v>
      </c>
      <c r="Y80" s="39">
        <v>6.4129891318649435</v>
      </c>
      <c r="Z80" s="39">
        <v>16.246666666666641</v>
      </c>
      <c r="AA80" s="39">
        <v>3.1068728566146897E-2</v>
      </c>
      <c r="AB80" s="9"/>
      <c r="AC80" s="1" t="s">
        <v>72</v>
      </c>
      <c r="AD80" s="1" t="s">
        <v>304</v>
      </c>
      <c r="AE80" s="9" t="str">
        <f>ROUND('[1]Puntos de control todos los dat'!L63,3)&amp;" - "&amp;ROUND('[1]Puntos de control todos los dat'!L63,3)</f>
        <v>420 - 420</v>
      </c>
      <c r="AF80" s="39" t="s">
        <v>731</v>
      </c>
      <c r="AG80" s="39" t="s">
        <v>731</v>
      </c>
      <c r="AH80" s="39" t="s">
        <v>731</v>
      </c>
      <c r="AI80" s="39" t="s">
        <v>731</v>
      </c>
      <c r="AJ80" s="39" t="s">
        <v>731</v>
      </c>
      <c r="AK80" s="9"/>
      <c r="AL80" s="1"/>
      <c r="AM80" s="1"/>
      <c r="AN80" s="3" t="s">
        <v>35</v>
      </c>
      <c r="AO80" s="1" t="s">
        <v>22</v>
      </c>
      <c r="AP80" s="1" t="s">
        <v>23</v>
      </c>
      <c r="AQ80" s="1"/>
      <c r="AR80" s="1" t="s">
        <v>74</v>
      </c>
      <c r="AS80" s="1" t="s">
        <v>40</v>
      </c>
      <c r="AT80" s="1"/>
      <c r="AU80" s="1" t="s">
        <v>74</v>
      </c>
      <c r="AV80" s="1" t="s">
        <v>40</v>
      </c>
      <c r="AW80" s="1"/>
      <c r="AX80" s="1"/>
      <c r="AY80" s="1"/>
    </row>
    <row r="81" spans="1:51" x14ac:dyDescent="0.25">
      <c r="A81" s="3" t="s">
        <v>42</v>
      </c>
      <c r="B81" s="1" t="s">
        <v>17</v>
      </c>
      <c r="C81" s="1" t="s">
        <v>305</v>
      </c>
      <c r="D81" s="9" t="str">
        <f>ROUND((3*MIN('[1]Puntos de control todos los dat'!L11,'[1]Puntos de control todos los dat'!L17)+MAX('[1]Puntos de control todos los dat'!L11,'[1]Puntos de control todos los dat'!L17))/4,3)&amp;" - "&amp;ROUND((MIN('[1]Puntos de control todos los dat'!L11,'[1]Puntos de control todos los dat'!L17)+3*MAX('[1]Puntos de control todos los dat'!L11,'[1]Puntos de control todos los dat'!L17))/4,3)</f>
        <v>244,275 - 250,505</v>
      </c>
      <c r="E81" s="39">
        <v>1.156676641107163</v>
      </c>
      <c r="F81" s="40">
        <v>0.20998560301649591</v>
      </c>
      <c r="G81" s="40">
        <v>15.667664110716295</v>
      </c>
      <c r="H81" s="40">
        <v>33.509999999999991</v>
      </c>
      <c r="I81" s="40">
        <v>7.2647256487523557E-2</v>
      </c>
      <c r="J81" s="1"/>
      <c r="K81" s="1" t="s">
        <v>15</v>
      </c>
      <c r="L81" s="1" t="s">
        <v>306</v>
      </c>
      <c r="M81" s="9" t="str">
        <f>ROUND((MIN('[1]Puntos de control todos los dat'!L12,'[1]Puntos de control todos los dat'!L15,'[1]Puntos de control todos los dat'!L18)+MEDIAN('[1]Puntos de control todos los dat'!L12,'[1]Puntos de control todos los dat'!L15,'[1]Puntos de control todos los dat'!L18))/2,3)&amp;" - "&amp;ROUND((MEDIAN('[1]Puntos de control todos los dat'!L12,'[1]Puntos de control todos los dat'!L15,'[1]Puntos de control todos los dat'!L18)+MAX('[1]Puntos de control todos los dat'!L12,'[1]Puntos de control todos los dat'!L15,'[1]Puntos de control todos los dat'!L18))/2,3)</f>
        <v>199,17 - 212,55</v>
      </c>
      <c r="N81" s="39">
        <v>0.77466009901736566</v>
      </c>
      <c r="O81" s="39">
        <v>-0.36836466324623879</v>
      </c>
      <c r="P81" s="39">
        <v>-22.533990098263434</v>
      </c>
      <c r="Q81" s="39">
        <v>-59.776666666666699</v>
      </c>
      <c r="R81" s="39">
        <v>-0.12697637204296514</v>
      </c>
      <c r="S81" s="9"/>
      <c r="T81" s="1" t="s">
        <v>15</v>
      </c>
      <c r="U81" s="1" t="s">
        <v>307</v>
      </c>
      <c r="V81" s="9" t="str">
        <f>ROUND((MIN('[1]Puntos de control todos los dat'!L13,'[1]Puntos de control todos los dat'!L16,'[1]Puntos de control todos los dat'!L19)+MEDIAN('[1]Puntos de control todos los dat'!L13,'[1]Puntos de control todos los dat'!L16,'[1]Puntos de control todos los dat'!L19))/2,3)&amp;" - "&amp;ROUND((MEDIAN('[1]Puntos de control todos los dat'!L13,'[1]Puntos de control todos los dat'!L16,'[1]Puntos de control todos los dat'!L19)+MAX('[1]Puntos de control todos los dat'!L13,'[1]Puntos de control todos los dat'!L16,'[1]Puntos de control todos los dat'!L19))/2,3)</f>
        <v>221,365 - 259,505</v>
      </c>
      <c r="W81" s="39">
        <v>0.93769900792084404</v>
      </c>
      <c r="X81" s="39">
        <v>-9.28031886347917E-2</v>
      </c>
      <c r="Y81" s="39">
        <v>-6.2300992079155959</v>
      </c>
      <c r="Z81" s="39">
        <v>-15.78333333333336</v>
      </c>
      <c r="AA81" s="39">
        <v>-3.2152048292580303E-2</v>
      </c>
      <c r="AB81" s="9"/>
      <c r="AC81" s="1" t="s">
        <v>17</v>
      </c>
      <c r="AD81" s="1" t="s">
        <v>308</v>
      </c>
      <c r="AE81" s="9" t="str">
        <f>ROUND((3*MIN('[1]Puntos de control todos los dat'!L65,'[1]Puntos de control todos los dat'!L66)+MAX('[1]Puntos de control todos los dat'!L65,'[1]Puntos de control todos los dat'!L66))/4,3)&amp;" - "&amp;ROUND((MIN('[1]Puntos de control todos los dat'!L65,'[1]Puntos de control todos los dat'!L66)+3*MAX('[1]Puntos de control todos los dat'!L65,'[1]Puntos de control todos los dat'!L66))/4,3)</f>
        <v>203,253 - 217,418</v>
      </c>
      <c r="AF81" s="39">
        <v>0.36250904829202713</v>
      </c>
      <c r="AG81" s="39">
        <v>-1.4639110893787681</v>
      </c>
      <c r="AH81" s="39">
        <v>-63.74909517079729</v>
      </c>
      <c r="AI81" s="39">
        <v>-369.88500000000005</v>
      </c>
      <c r="AJ81" s="39">
        <v>-0.46788016014066069</v>
      </c>
      <c r="AK81" s="9"/>
      <c r="AL81" s="1"/>
      <c r="AM81" s="1"/>
      <c r="AN81" s="13" t="s">
        <v>42</v>
      </c>
      <c r="AO81" s="27" t="s">
        <v>79</v>
      </c>
      <c r="AP81" s="27" t="s">
        <v>23</v>
      </c>
      <c r="AQ81" s="1"/>
      <c r="AR81" s="1" t="s">
        <v>34</v>
      </c>
      <c r="AS81" s="1" t="s">
        <v>21</v>
      </c>
      <c r="AT81" s="1"/>
      <c r="AU81" s="1" t="s">
        <v>200</v>
      </c>
      <c r="AV81" s="1" t="s">
        <v>21</v>
      </c>
      <c r="AW81" s="1"/>
      <c r="AX81" s="1"/>
      <c r="AY81" s="1"/>
    </row>
    <row r="82" spans="1:51" x14ac:dyDescent="0.25">
      <c r="A82" s="23" t="s">
        <v>48</v>
      </c>
      <c r="B82" s="24" t="s">
        <v>15</v>
      </c>
      <c r="C82" s="24" t="s">
        <v>309</v>
      </c>
      <c r="D82" s="25" t="str">
        <f>ROUND((MIN('[1]Puntos de control todos los dat'!L20,'[1]Puntos de control todos los dat'!L23,'[1]Puntos de control todos los dat'!L26)+MEDIAN('[1]Puntos de control todos los dat'!L20,'[1]Puntos de control todos los dat'!L23,'[1]Puntos de control todos los dat'!L26))/2,3)&amp;" - "&amp;ROUND((MEDIAN('[1]Puntos de control todos los dat'!L20,'[1]Puntos de control todos los dat'!L23,'[1]Puntos de control todos los dat'!L26)+MAX('[1]Puntos de control todos los dat'!L20,'[1]Puntos de control todos los dat'!L23,'[1]Puntos de control todos los dat'!L26))/2,3)</f>
        <v>237,015 - 255,46</v>
      </c>
      <c r="E82" s="42">
        <v>1.1594663674334518</v>
      </c>
      <c r="F82" s="43">
        <v>0.21346097242833634</v>
      </c>
      <c r="G82" s="43">
        <v>15.946636743345177</v>
      </c>
      <c r="H82" s="43">
        <v>34.106666666666683</v>
      </c>
      <c r="I82" s="43">
        <v>7.3845265588914591E-2</v>
      </c>
      <c r="J82" s="1"/>
      <c r="K82" s="1" t="s">
        <v>15</v>
      </c>
      <c r="L82" s="1" t="s">
        <v>310</v>
      </c>
      <c r="M82" s="25" t="str">
        <f>ROUND((MIN('[1]Puntos de control todos los dat'!L21,'[1]Puntos de control todos los dat'!L24,'[1]Puntos de control todos los dat'!L27)+MEDIAN('[1]Puntos de control todos los dat'!L21,'[1]Puntos de control todos los dat'!L24,'[1]Puntos de control todos los dat'!L27))/2,3)&amp;" - "&amp;ROUND((MEDIAN('[1]Puntos de control todos los dat'!L21,'[1]Puntos de control todos los dat'!L24,'[1]Puntos de control todos los dat'!L27)+MAX('[1]Puntos de control todos los dat'!L21,'[1]Puntos de control todos los dat'!L24,'[1]Puntos de control todos los dat'!L27))/2,3)</f>
        <v>204,83 - 231,845</v>
      </c>
      <c r="N82" s="42">
        <v>0.83616898293583974</v>
      </c>
      <c r="O82" s="42">
        <v>-0.25813356620823769</v>
      </c>
      <c r="P82" s="42">
        <v>-16.383101706416024</v>
      </c>
      <c r="Q82" s="42">
        <v>-43.460000000000008</v>
      </c>
      <c r="R82" s="42">
        <v>-8.9224368011168453E-2</v>
      </c>
      <c r="S82" s="9"/>
      <c r="T82" s="1" t="s">
        <v>15</v>
      </c>
      <c r="U82" s="1" t="s">
        <v>311</v>
      </c>
      <c r="V82" s="25" t="str">
        <f>ROUND((MIN('[1]Puntos de control todos los dat'!L22,'[1]Puntos de control todos los dat'!L25,'[1]Puntos de control todos los dat'!L28)+MEDIAN('[1]Puntos de control todos los dat'!L22,'[1]Puntos de control todos los dat'!L25,'[1]Puntos de control todos los dat'!L28))/2,3)&amp;" - "&amp;ROUND((MEDIAN('[1]Puntos de control todos los dat'!L22,'[1]Puntos de control todos los dat'!L25,'[1]Puntos de control todos los dat'!L28)+MAX('[1]Puntos de control todos los dat'!L22,'[1]Puntos de control todos los dat'!L25,'[1]Puntos de control todos los dat'!L28))/2,3)</f>
        <v>223,72 - 250,205</v>
      </c>
      <c r="W82" s="42">
        <v>0.93742269940264733</v>
      </c>
      <c r="X82" s="42">
        <v>-9.3228365230301299E-2</v>
      </c>
      <c r="Y82" s="42">
        <v>-6.257730059735267</v>
      </c>
      <c r="Z82" s="42">
        <v>-15.853333333333325</v>
      </c>
      <c r="AA82" s="42">
        <v>-3.2299250244485475E-2</v>
      </c>
      <c r="AB82" s="9"/>
      <c r="AC82" s="1" t="s">
        <v>17</v>
      </c>
      <c r="AD82" s="1" t="s">
        <v>312</v>
      </c>
      <c r="AE82" s="25" t="str">
        <f>ROUND((3*MIN('[1]Puntos de control todos los dat'!L67,'[1]Puntos de control todos los dat'!L68)+MAX('[1]Puntos de control todos los dat'!L67,'[1]Puntos de control todos los dat'!L68))/4,3)&amp;" - "&amp;ROUND((MIN('[1]Puntos de control todos los dat'!L67,'[1]Puntos de control todos los dat'!L68)+3*MAX('[1]Puntos de control todos los dat'!L67,'[1]Puntos de control todos los dat'!L68))/4,3)</f>
        <v>195,543 - 254,868</v>
      </c>
      <c r="AF82" s="39">
        <v>0.38813725828134149</v>
      </c>
      <c r="AG82" s="39">
        <v>-1.3653611671550625</v>
      </c>
      <c r="AH82" s="39">
        <v>-61.186274171865854</v>
      </c>
      <c r="AI82" s="39">
        <v>-355.01500000000004</v>
      </c>
      <c r="AJ82" s="39">
        <v>-0.44077971257410692</v>
      </c>
      <c r="AK82" s="9"/>
      <c r="AL82" s="1"/>
      <c r="AM82" s="1"/>
      <c r="AN82" s="3" t="s">
        <v>48</v>
      </c>
      <c r="AO82" s="1" t="s">
        <v>96</v>
      </c>
      <c r="AP82" s="1" t="s">
        <v>13</v>
      </c>
      <c r="AQ82" s="1"/>
      <c r="AR82" s="1" t="s">
        <v>96</v>
      </c>
      <c r="AS82" s="1" t="s">
        <v>13</v>
      </c>
      <c r="AT82" s="1"/>
      <c r="AU82" s="1" t="s">
        <v>96</v>
      </c>
      <c r="AV82" s="1" t="s">
        <v>13</v>
      </c>
      <c r="AW82" s="1"/>
      <c r="AX82" s="1"/>
      <c r="AY82" s="1"/>
    </row>
    <row r="83" spans="1:51" x14ac:dyDescent="0.25">
      <c r="A83" s="3" t="s">
        <v>54</v>
      </c>
      <c r="B83" s="1" t="s">
        <v>17</v>
      </c>
      <c r="C83" s="1" t="s">
        <v>313</v>
      </c>
      <c r="D83" s="9" t="str">
        <f>ROUND((3*MIN('[1]Puntos de control todos los dat'!L29,'[1]Puntos de control todos los dat'!L32)+MAX('[1]Puntos de control todos los dat'!L29,'[1]Puntos de control todos los dat'!L32))/4,3)&amp;" - "&amp;ROUND((MIN('[1]Puntos de control todos los dat'!L29,'[1]Puntos de control todos los dat'!L32)+3*MAX('[1]Puntos de control todos los dat'!L29,'[1]Puntos de control todos los dat'!L32))/4,3)</f>
        <v>246,968 - 290,903</v>
      </c>
      <c r="E83" s="39">
        <v>1.2574106975874322</v>
      </c>
      <c r="F83" s="40">
        <v>0.33045594219965257</v>
      </c>
      <c r="G83" s="40">
        <v>25.741069758743219</v>
      </c>
      <c r="H83" s="40">
        <v>55.055000000000007</v>
      </c>
      <c r="I83" s="40">
        <v>0.11402918302041155</v>
      </c>
      <c r="J83" s="1"/>
      <c r="K83" s="1" t="s">
        <v>17</v>
      </c>
      <c r="L83" s="1" t="s">
        <v>314</v>
      </c>
      <c r="M83" s="9" t="str">
        <f>ROUND((3*MIN('[1]Puntos de control todos los dat'!L30,'[1]Puntos de control todos los dat'!L33)+MAX('[1]Puntos de control todos los dat'!L30,'[1]Puntos de control todos los dat'!L33))/4,3)&amp;" - "&amp;ROUND((MIN('[1]Puntos de control todos los dat'!L30,'[1]Puntos de control todos los dat'!L33)+3*MAX('[1]Puntos de control todos los dat'!L30,'[1]Puntos de control todos los dat'!L33))/4,3)</f>
        <v>220,78 - 254,24</v>
      </c>
      <c r="N83" s="39">
        <v>0.89534065492196724</v>
      </c>
      <c r="O83" s="39">
        <v>-0.15949139836485704</v>
      </c>
      <c r="P83" s="39">
        <v>-10.465934507803276</v>
      </c>
      <c r="Q83" s="39">
        <v>-27.76333333333335</v>
      </c>
      <c r="R83" s="39">
        <v>-5.5219279344979638E-2</v>
      </c>
      <c r="S83" s="9"/>
      <c r="T83" s="1" t="s">
        <v>15</v>
      </c>
      <c r="U83" s="1" t="s">
        <v>315</v>
      </c>
      <c r="V83" s="9" t="str">
        <f>ROUND((MIN('[1]Puntos de control todos los dat'!L31,'[1]Puntos de control todos los dat'!L34,'[1]Puntos de control todos los dat'!L37)+MEDIAN('[1]Puntos de control todos los dat'!L31,'[1]Puntos de control todos los dat'!L34,'[1]Puntos de control todos los dat'!L37))/2,3)&amp;" - "&amp;ROUND((MEDIAN('[1]Puntos de control todos los dat'!L31,'[1]Puntos de control todos los dat'!L34,'[1]Puntos de control todos los dat'!L37)+MAX('[1]Puntos de control todos los dat'!L31,'[1]Puntos de control todos los dat'!L34,'[1]Puntos de control todos los dat'!L37))/2,3)</f>
        <v>250,985 - 261,74</v>
      </c>
      <c r="W83" s="39">
        <v>1.006578774242783</v>
      </c>
      <c r="X83" s="39">
        <v>9.4600811140127423E-3</v>
      </c>
      <c r="Y83" s="39">
        <v>0.65787742427829698</v>
      </c>
      <c r="Z83" s="39">
        <v>1.6666666666666572</v>
      </c>
      <c r="AA83" s="39">
        <v>3.2786025284582509E-3</v>
      </c>
      <c r="AB83" s="9"/>
      <c r="AC83" s="1" t="s">
        <v>17</v>
      </c>
      <c r="AD83" s="1" t="s">
        <v>316</v>
      </c>
      <c r="AE83" s="9" t="str">
        <f>ROUND((3*MIN('[1]Puntos de control todos los dat'!L69,'[1]Puntos de control todos los dat'!L70)+MAX('[1]Puntos de control todos los dat'!L69,'[1]Puntos de control todos los dat'!L70))/4,3)&amp;" - "&amp;ROUND((MIN('[1]Puntos de control todos los dat'!L69,'[1]Puntos de control todos los dat'!L70)+3*MAX('[1]Puntos de control todos los dat'!L69,'[1]Puntos de control todos los dat'!L70))/4,3)</f>
        <v>390,585 - 485,975</v>
      </c>
      <c r="AF83" s="39">
        <v>0.75536865326944946</v>
      </c>
      <c r="AG83" s="39">
        <v>-0.40474717967038559</v>
      </c>
      <c r="AH83" s="39">
        <v>-24.463134673055052</v>
      </c>
      <c r="AI83" s="39">
        <v>-141.94000000000005</v>
      </c>
      <c r="AJ83" s="39">
        <v>-0.13936180657830147</v>
      </c>
      <c r="AK83" s="9"/>
      <c r="AL83" s="1"/>
      <c r="AM83" s="1"/>
      <c r="AN83" s="10" t="s">
        <v>54</v>
      </c>
      <c r="AO83" s="22" t="s">
        <v>24</v>
      </c>
      <c r="AP83" s="22" t="s">
        <v>23</v>
      </c>
      <c r="AQ83" s="1"/>
      <c r="AR83" s="1" t="s">
        <v>24</v>
      </c>
      <c r="AS83" s="1" t="s">
        <v>23</v>
      </c>
      <c r="AT83" s="1"/>
      <c r="AU83" s="1" t="s">
        <v>22</v>
      </c>
      <c r="AV83" s="1" t="s">
        <v>23</v>
      </c>
      <c r="AW83" s="1"/>
      <c r="AX83" s="1"/>
      <c r="AY83" s="1"/>
    </row>
    <row r="84" spans="1:51" x14ac:dyDescent="0.25">
      <c r="A84" s="3" t="s">
        <v>59</v>
      </c>
      <c r="B84" s="1" t="s">
        <v>17</v>
      </c>
      <c r="C84" s="1" t="s">
        <v>317</v>
      </c>
      <c r="D84" s="9" t="str">
        <f>ROUND((3*MIN('[1]Puntos de control todos los dat'!L47,'[1]Puntos de control todos los dat'!L50)+MAX('[1]Puntos de control todos los dat'!L47,'[1]Puntos de control todos los dat'!L50))/4,3)&amp;" - "&amp;ROUND((MIN('[1]Puntos de control todos los dat'!L47,'[1]Puntos de control todos los dat'!L50)+3*MAX('[1]Puntos de control todos los dat'!L47,'[1]Puntos de control todos los dat'!L50))/4,3)</f>
        <v>439,163 - 884,108</v>
      </c>
      <c r="E84" s="39">
        <v>3.0934870020572283</v>
      </c>
      <c r="F84" s="40">
        <v>1.6292339721746067</v>
      </c>
      <c r="G84" s="40">
        <v>209.34870020572282</v>
      </c>
      <c r="H84" s="40">
        <v>447.755</v>
      </c>
      <c r="I84" s="40">
        <v>0.51141899339246044</v>
      </c>
      <c r="J84" s="1"/>
      <c r="K84" s="1" t="s">
        <v>17</v>
      </c>
      <c r="L84" s="1" t="s">
        <v>318</v>
      </c>
      <c r="M84" s="9" t="str">
        <f>ROUND((3*MIN('[1]Puntos de control todos los dat'!L48,'[1]Puntos de control todos los dat'!L51)+MAX('[1]Puntos de control todos los dat'!L48,'[1]Puntos de control todos los dat'!L51))/4,3)&amp;" - "&amp;ROUND((MIN('[1]Puntos de control todos los dat'!L48,'[1]Puntos de control todos los dat'!L51)+3*MAX('[1]Puntos de control todos los dat'!L48,'[1]Puntos de control todos los dat'!L51))/4,3)</f>
        <v>198,648 - 210,303</v>
      </c>
      <c r="N84" s="39">
        <v>0.77080872559121394</v>
      </c>
      <c r="O84" s="39">
        <v>-0.3755551917852249</v>
      </c>
      <c r="P84" s="39">
        <v>-22.919127440878604</v>
      </c>
      <c r="Q84" s="39">
        <v>-60.798333333333375</v>
      </c>
      <c r="R84" s="39">
        <v>-0.12942745938428032</v>
      </c>
      <c r="S84" s="9"/>
      <c r="T84" s="1" t="s">
        <v>17</v>
      </c>
      <c r="U84" s="1" t="s">
        <v>319</v>
      </c>
      <c r="V84" s="9" t="str">
        <f>ROUND((3*MIN('[1]Puntos de control todos los dat'!L49,'[1]Puntos de control todos los dat'!L52)+MAX('[1]Puntos de control todos los dat'!L49,'[1]Puntos de control todos los dat'!L52))/4,3)&amp;" - "&amp;ROUND((MIN('[1]Puntos de control todos los dat'!L49,'[1]Puntos de control todos los dat'!L52)+3*MAX('[1]Puntos de control todos los dat'!L49,'[1]Puntos de control todos los dat'!L52))/4,3)</f>
        <v>364,688 - 662,383</v>
      </c>
      <c r="W84" s="39">
        <v>2.0270584984605668</v>
      </c>
      <c r="X84" s="39">
        <v>1.0193877238423907</v>
      </c>
      <c r="Y84" s="39">
        <v>102.70584984605668</v>
      </c>
      <c r="Z84" s="39">
        <v>260.19499999999994</v>
      </c>
      <c r="AA84" s="39">
        <v>0.33929258353708225</v>
      </c>
      <c r="AB84" s="9"/>
      <c r="AC84" s="1" t="s">
        <v>63</v>
      </c>
      <c r="AD84" s="1" t="s">
        <v>63</v>
      </c>
      <c r="AE84" s="9" t="s">
        <v>63</v>
      </c>
      <c r="AF84" s="39" t="s">
        <v>731</v>
      </c>
      <c r="AG84" s="39" t="s">
        <v>731</v>
      </c>
      <c r="AH84" s="39" t="s">
        <v>731</v>
      </c>
      <c r="AI84" s="39" t="s">
        <v>731</v>
      </c>
      <c r="AJ84" s="39" t="s">
        <v>731</v>
      </c>
      <c r="AK84" s="9"/>
      <c r="AL84" s="1"/>
      <c r="AM84" s="1"/>
      <c r="AN84" s="3" t="s">
        <v>59</v>
      </c>
      <c r="AO84" s="3" t="s">
        <v>63</v>
      </c>
      <c r="AP84" s="3" t="s">
        <v>63</v>
      </c>
      <c r="AQ84" s="3"/>
      <c r="AR84" s="3" t="s">
        <v>63</v>
      </c>
      <c r="AS84" s="3" t="s">
        <v>63</v>
      </c>
      <c r="AT84" s="3"/>
      <c r="AU84" s="3" t="s">
        <v>63</v>
      </c>
      <c r="AV84" s="3" t="s">
        <v>63</v>
      </c>
      <c r="AW84" s="1"/>
      <c r="AX84" s="1"/>
      <c r="AY84" s="1"/>
    </row>
    <row r="85" spans="1:51" x14ac:dyDescent="0.25">
      <c r="A85" s="3" t="s">
        <v>64</v>
      </c>
      <c r="B85" s="1" t="s">
        <v>17</v>
      </c>
      <c r="C85" s="1" t="s">
        <v>320</v>
      </c>
      <c r="D85" s="9" t="str">
        <f>ROUND((3*MIN('[1]Puntos de control todos los dat'!L53,'[1]Puntos de control todos los dat'!L56)+MAX('[1]Puntos de control todos los dat'!L53,'[1]Puntos de control todos los dat'!L56))/4,3)&amp;" - "&amp;ROUND((MIN('[1]Puntos de control todos los dat'!L53,'[1]Puntos de control todos los dat'!L56)+3*MAX('[1]Puntos de control todos los dat'!L53,'[1]Puntos de control todos los dat'!L56))/4,3)</f>
        <v>256,693 - 328,438</v>
      </c>
      <c r="E85" s="39">
        <v>1.3678932111464372</v>
      </c>
      <c r="F85" s="40">
        <v>0.45195560612802538</v>
      </c>
      <c r="G85" s="40">
        <v>36.789321114643727</v>
      </c>
      <c r="H85" s="40">
        <v>78.685000000000002</v>
      </c>
      <c r="I85" s="40">
        <v>0.15536731530570941</v>
      </c>
      <c r="J85" s="1"/>
      <c r="K85" s="1" t="s">
        <v>17</v>
      </c>
      <c r="L85" s="1" t="s">
        <v>321</v>
      </c>
      <c r="M85" s="9" t="str">
        <f>ROUND((3*MIN('[1]Puntos de control todos los dat'!L54,'[1]Puntos de control todos los dat'!L57)+MAX('[1]Puntos de control todos los dat'!L54,'[1]Puntos de control todos los dat'!L57))/4,3)&amp;" - "&amp;ROUND((MIN('[1]Puntos de control todos los dat'!L54,'[1]Puntos de control todos los dat'!L57)+3*MAX('[1]Puntos de control todos los dat'!L54,'[1]Puntos de control todos los dat'!L57))/4,3)</f>
        <v>279,6 - 318,92</v>
      </c>
      <c r="N85" s="39">
        <v>1.1281194239903494</v>
      </c>
      <c r="O85" s="39">
        <v>0.17391980113988462</v>
      </c>
      <c r="P85" s="39">
        <v>12.811942399034937</v>
      </c>
      <c r="Q85" s="39">
        <v>33.986666666666622</v>
      </c>
      <c r="R85" s="39">
        <v>6.0203117619272481E-2</v>
      </c>
      <c r="S85" s="9"/>
      <c r="T85" s="1" t="s">
        <v>17</v>
      </c>
      <c r="U85" s="1" t="s">
        <v>322</v>
      </c>
      <c r="V85" s="9" t="str">
        <f>ROUND((3*MIN('[1]Puntos de control todos los dat'!L55,'[1]Puntos de control todos los dat'!L58)+MAX('[1]Puntos de control todos los dat'!L55,'[1]Puntos de control todos los dat'!L58))/4,3)&amp;" - "&amp;ROUND((MIN('[1]Puntos de control todos los dat'!L55,'[1]Puntos de control todos los dat'!L58)+3*MAX('[1]Puntos de control todos los dat'!L55,'[1]Puntos de control todos los dat'!L58))/4,3)</f>
        <v>353,403 - 390,428</v>
      </c>
      <c r="W85" s="39">
        <v>1.4680468935028024</v>
      </c>
      <c r="X85" s="39">
        <v>0.55389805261124725</v>
      </c>
      <c r="Y85" s="39">
        <v>46.804689350280235</v>
      </c>
      <c r="Z85" s="39">
        <v>118.57499999999996</v>
      </c>
      <c r="AA85" s="39">
        <v>0.18964262580867</v>
      </c>
      <c r="AB85" s="9"/>
      <c r="AC85" s="1" t="s">
        <v>63</v>
      </c>
      <c r="AD85" s="1" t="s">
        <v>63</v>
      </c>
      <c r="AE85" s="9" t="s">
        <v>63</v>
      </c>
      <c r="AF85" s="39" t="s">
        <v>731</v>
      </c>
      <c r="AG85" s="39" t="s">
        <v>731</v>
      </c>
      <c r="AH85" s="39" t="s">
        <v>731</v>
      </c>
      <c r="AI85" s="39" t="s">
        <v>731</v>
      </c>
      <c r="AJ85" s="39" t="s">
        <v>731</v>
      </c>
      <c r="AK85" s="9"/>
      <c r="AL85" s="1"/>
      <c r="AM85" s="1"/>
      <c r="AN85" s="3" t="s">
        <v>64</v>
      </c>
      <c r="AO85" s="3" t="s">
        <v>63</v>
      </c>
      <c r="AP85" s="3" t="s">
        <v>63</v>
      </c>
      <c r="AQ85" s="3"/>
      <c r="AR85" s="3" t="s">
        <v>63</v>
      </c>
      <c r="AS85" s="3" t="s">
        <v>63</v>
      </c>
      <c r="AT85" s="3"/>
      <c r="AU85" s="3" t="s">
        <v>63</v>
      </c>
      <c r="AV85" s="3" t="s">
        <v>63</v>
      </c>
      <c r="AW85" s="1"/>
      <c r="AX85" s="1"/>
      <c r="AY85" s="1"/>
    </row>
    <row r="86" spans="1:51" x14ac:dyDescent="0.25">
      <c r="A86" s="20" t="s">
        <v>323</v>
      </c>
      <c r="B86" s="1"/>
      <c r="C86" s="1"/>
      <c r="D86" s="9"/>
      <c r="E86" s="9"/>
      <c r="F86" s="1"/>
      <c r="G86" s="1"/>
      <c r="H86" s="1"/>
      <c r="I86" s="1"/>
      <c r="J86" s="1"/>
      <c r="K86" s="1"/>
      <c r="L86" s="1"/>
      <c r="M86" s="9"/>
      <c r="N86" s="9"/>
      <c r="O86" s="9"/>
      <c r="S86" s="9"/>
      <c r="T86" s="1"/>
      <c r="U86" s="1"/>
      <c r="V86" s="9"/>
      <c r="W86" s="9"/>
      <c r="X86" s="9"/>
      <c r="AB86" s="9"/>
      <c r="AC86" s="1"/>
      <c r="AD86" s="1"/>
      <c r="AE86" s="9"/>
      <c r="AF86" s="9"/>
      <c r="AG86" s="9"/>
      <c r="AK86" s="9"/>
      <c r="AL86" s="1"/>
      <c r="AM86" s="1"/>
      <c r="AN86" s="1" t="s">
        <v>323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3" t="s">
        <v>14</v>
      </c>
      <c r="B87" s="1" t="s">
        <v>72</v>
      </c>
      <c r="C87" s="1" t="s">
        <v>324</v>
      </c>
      <c r="D87" s="9" t="str">
        <f>ROUND('[1]Puntos de control todos los dat'!M44,3)&amp;" - "&amp;ROUND('[1]Puntos de control todos los dat'!M44,3)</f>
        <v>254,9 - 254,9</v>
      </c>
      <c r="E87" s="39">
        <v>1</v>
      </c>
      <c r="F87" s="40">
        <v>0</v>
      </c>
      <c r="G87" s="40">
        <v>0</v>
      </c>
      <c r="H87" s="40">
        <v>0</v>
      </c>
      <c r="I87" s="40">
        <v>0</v>
      </c>
      <c r="J87" s="1"/>
      <c r="K87" s="1" t="s">
        <v>72</v>
      </c>
      <c r="L87" s="1" t="s">
        <v>325</v>
      </c>
      <c r="M87" s="9" t="str">
        <f>ROUND('[1]Puntos de control todos los dat'!M45,3)&amp;" - "&amp;ROUND('[1]Puntos de control todos los dat'!M45,3)</f>
        <v>218,9 - 218,9</v>
      </c>
      <c r="N87" s="39">
        <v>1</v>
      </c>
      <c r="O87" s="39">
        <v>0</v>
      </c>
      <c r="P87" s="39">
        <v>0</v>
      </c>
      <c r="Q87" s="39">
        <v>0</v>
      </c>
      <c r="R87" s="39">
        <v>0</v>
      </c>
      <c r="S87" s="9"/>
      <c r="T87" s="1" t="s">
        <v>63</v>
      </c>
      <c r="U87" s="1" t="s">
        <v>63</v>
      </c>
      <c r="V87" s="9" t="s">
        <v>63</v>
      </c>
      <c r="W87" s="39" t="s">
        <v>731</v>
      </c>
      <c r="X87" s="39" t="s">
        <v>731</v>
      </c>
      <c r="Y87" s="39" t="s">
        <v>731</v>
      </c>
      <c r="Z87" s="39" t="s">
        <v>731</v>
      </c>
      <c r="AA87" s="39" t="s">
        <v>731</v>
      </c>
      <c r="AB87" s="9"/>
      <c r="AC87" s="1" t="s">
        <v>72</v>
      </c>
      <c r="AD87" s="1" t="s">
        <v>326</v>
      </c>
      <c r="AE87" s="9" t="str">
        <f>ROUND('[1]Puntos de control todos los dat'!M59,3)&amp;" - "&amp;ROUND('[1]Puntos de control todos los dat'!M59,3)</f>
        <v>201,3 - 201,3</v>
      </c>
      <c r="AF87" s="39">
        <v>1</v>
      </c>
      <c r="AG87" s="39">
        <v>0</v>
      </c>
      <c r="AH87" s="39">
        <v>0</v>
      </c>
      <c r="AI87" s="39">
        <v>0</v>
      </c>
      <c r="AJ87" s="39">
        <v>0</v>
      </c>
      <c r="AK87" s="9"/>
      <c r="AL87" s="1"/>
      <c r="AM87" s="1"/>
      <c r="AN87" s="13" t="s">
        <v>14</v>
      </c>
      <c r="AO87" s="27" t="s">
        <v>327</v>
      </c>
      <c r="AP87" s="27" t="s">
        <v>23</v>
      </c>
      <c r="AQ87" s="1"/>
      <c r="AR87" s="1" t="s">
        <v>327</v>
      </c>
      <c r="AS87" s="1" t="s">
        <v>23</v>
      </c>
      <c r="AT87" s="1"/>
      <c r="AU87" s="3" t="s">
        <v>63</v>
      </c>
      <c r="AV87" s="3" t="s">
        <v>63</v>
      </c>
      <c r="AW87" s="1"/>
      <c r="AX87" s="1"/>
      <c r="AY87" s="1"/>
    </row>
    <row r="88" spans="1:51" x14ac:dyDescent="0.25">
      <c r="A88" s="3" t="s">
        <v>25</v>
      </c>
      <c r="B88" s="1" t="s">
        <v>17</v>
      </c>
      <c r="C88" s="1" t="s">
        <v>328</v>
      </c>
      <c r="D88" s="9" t="str">
        <f>ROUND((3*MIN('[1]Puntos de control todos los dat'!M74,'[1]Puntos de control todos los dat'!M77)+MAX('[1]Puntos de control todos los dat'!M74,'[1]Puntos de control todos los dat'!M77))/4,3)&amp;" - "&amp;ROUND((MIN('[1]Puntos de control todos los dat'!M74,'[1]Puntos de control todos los dat'!M77)+3*MAX('[1]Puntos de control todos los dat'!M74,'[1]Puntos de control todos los dat'!M77))/4,3)</f>
        <v>199,6 - 203,2</v>
      </c>
      <c r="E88" s="39" t="s">
        <v>731</v>
      </c>
      <c r="F88" s="44" t="s">
        <v>731</v>
      </c>
      <c r="G88" s="44" t="s">
        <v>731</v>
      </c>
      <c r="H88" s="44" t="s">
        <v>731</v>
      </c>
      <c r="I88" s="44" t="s">
        <v>731</v>
      </c>
      <c r="J88" s="1"/>
      <c r="K88" s="1" t="s">
        <v>72</v>
      </c>
      <c r="L88" s="1" t="s">
        <v>329</v>
      </c>
      <c r="M88" s="9" t="str">
        <f>ROUND('[1]Puntos de control todos los dat'!M75,3)&amp;" - "&amp;ROUND('[1]Puntos de control todos los dat'!M75,3)</f>
        <v>241,9 - 241,9</v>
      </c>
      <c r="N88" s="39" t="s">
        <v>731</v>
      </c>
      <c r="O88" s="39" t="s">
        <v>731</v>
      </c>
      <c r="P88" s="39" t="s">
        <v>731</v>
      </c>
      <c r="Q88" s="39" t="s">
        <v>731</v>
      </c>
      <c r="R88" s="39" t="s">
        <v>731</v>
      </c>
      <c r="S88" s="9"/>
      <c r="T88" s="1" t="s">
        <v>72</v>
      </c>
      <c r="U88" s="1" t="s">
        <v>330</v>
      </c>
      <c r="V88" s="9" t="str">
        <f>ROUND('[1]Puntos de control todos los dat'!M76,3)&amp;" - "&amp;ROUND('[1]Puntos de control todos los dat'!M76,3)</f>
        <v>197,6 - 197,6</v>
      </c>
      <c r="W88" s="39" t="s">
        <v>731</v>
      </c>
      <c r="X88" s="39" t="s">
        <v>731</v>
      </c>
      <c r="Y88" s="39" t="s">
        <v>731</v>
      </c>
      <c r="Z88" s="39" t="s">
        <v>731</v>
      </c>
      <c r="AA88" s="39" t="s">
        <v>731</v>
      </c>
      <c r="AB88" s="9"/>
      <c r="AC88" s="1" t="s">
        <v>72</v>
      </c>
      <c r="AD88" s="1" t="s">
        <v>331</v>
      </c>
      <c r="AE88" s="9" t="str">
        <f>ROUND('[1]Puntos de control todos los dat'!M62,3)&amp;" - "&amp;ROUND('[1]Puntos de control todos los dat'!M62,3)</f>
        <v>722,4 - 722,4</v>
      </c>
      <c r="AF88" s="39" t="s">
        <v>731</v>
      </c>
      <c r="AG88" s="39" t="s">
        <v>731</v>
      </c>
      <c r="AH88" s="39" t="s">
        <v>731</v>
      </c>
      <c r="AI88" s="39" t="s">
        <v>731</v>
      </c>
      <c r="AJ88" s="39" t="s">
        <v>731</v>
      </c>
      <c r="AK88" s="9"/>
      <c r="AL88" s="1"/>
      <c r="AM88" s="1"/>
      <c r="AN88" s="19" t="s">
        <v>25</v>
      </c>
      <c r="AO88" s="30" t="s">
        <v>22</v>
      </c>
      <c r="AP88" s="30" t="s">
        <v>23</v>
      </c>
      <c r="AQ88" s="1"/>
      <c r="AR88" s="1" t="s">
        <v>72</v>
      </c>
      <c r="AS88" s="1" t="s">
        <v>23</v>
      </c>
      <c r="AT88" s="1"/>
      <c r="AU88" s="1" t="s">
        <v>72</v>
      </c>
      <c r="AV88" s="1" t="s">
        <v>23</v>
      </c>
      <c r="AW88" s="1"/>
      <c r="AX88" s="1"/>
      <c r="AY88" s="1"/>
    </row>
    <row r="89" spans="1:51" x14ac:dyDescent="0.25">
      <c r="A89" s="3" t="s">
        <v>35</v>
      </c>
      <c r="B89" s="1" t="s">
        <v>72</v>
      </c>
      <c r="C89" s="1" t="s">
        <v>332</v>
      </c>
      <c r="D89" s="9" t="str">
        <f>ROUND('[1]Puntos de control todos los dat'!M8,3)&amp;" - "&amp;ROUND('[1]Puntos de control todos los dat'!M8,3)</f>
        <v>197,2 - 197,2</v>
      </c>
      <c r="E89" s="39" t="s">
        <v>731</v>
      </c>
      <c r="F89" s="40" t="s">
        <v>731</v>
      </c>
      <c r="G89" s="40" t="s">
        <v>731</v>
      </c>
      <c r="H89" s="40" t="s">
        <v>731</v>
      </c>
      <c r="I89" s="40" t="s">
        <v>731</v>
      </c>
      <c r="J89" s="1"/>
      <c r="K89" s="1" t="s">
        <v>72</v>
      </c>
      <c r="L89" s="1" t="s">
        <v>333</v>
      </c>
      <c r="M89" s="9" t="str">
        <f>ROUND('[1]Puntos de control todos los dat'!M9,3)&amp;" - "&amp;ROUND('[1]Puntos de control todos los dat'!M9,3)</f>
        <v>195,6 - 195,6</v>
      </c>
      <c r="N89" s="39" t="s">
        <v>731</v>
      </c>
      <c r="O89" s="39" t="s">
        <v>731</v>
      </c>
      <c r="P89" s="39" t="s">
        <v>731</v>
      </c>
      <c r="Q89" s="39" t="s">
        <v>731</v>
      </c>
      <c r="R89" s="39" t="s">
        <v>731</v>
      </c>
      <c r="S89" s="9"/>
      <c r="T89" s="1" t="s">
        <v>72</v>
      </c>
      <c r="U89" s="1" t="s">
        <v>334</v>
      </c>
      <c r="V89" s="9" t="str">
        <f>ROUND('[1]Puntos de control todos los dat'!M10,3)&amp;" - "&amp;ROUND('[1]Puntos de control todos los dat'!M10,3)</f>
        <v>212,7 - 212,7</v>
      </c>
      <c r="W89" s="39" t="s">
        <v>731</v>
      </c>
      <c r="X89" s="39" t="s">
        <v>731</v>
      </c>
      <c r="Y89" s="39" t="s">
        <v>731</v>
      </c>
      <c r="Z89" s="39" t="s">
        <v>731</v>
      </c>
      <c r="AA89" s="39" t="s">
        <v>731</v>
      </c>
      <c r="AB89" s="9"/>
      <c r="AC89" s="1" t="s">
        <v>17</v>
      </c>
      <c r="AD89" s="1" t="s">
        <v>335</v>
      </c>
      <c r="AE89" s="9" t="str">
        <f>ROUND((3*MIN('[1]Puntos de control todos los dat'!M63,'[1]Puntos de control todos los dat'!M64)+MAX('[1]Puntos de control todos los dat'!M63,'[1]Puntos de control todos los dat'!M64))/4,3)&amp;" - "&amp;ROUND((MIN('[1]Puntos de control todos los dat'!M63,'[1]Puntos de control todos los dat'!M64)+3*MAX('[1]Puntos de control todos los dat'!M63,'[1]Puntos de control todos los dat'!M64))/4,3)</f>
        <v>372,475 - 684,225</v>
      </c>
      <c r="AF89" s="39" t="s">
        <v>731</v>
      </c>
      <c r="AG89" s="39" t="s">
        <v>731</v>
      </c>
      <c r="AH89" s="39" t="s">
        <v>731</v>
      </c>
      <c r="AI89" s="39" t="s">
        <v>731</v>
      </c>
      <c r="AJ89" s="39" t="s">
        <v>731</v>
      </c>
      <c r="AK89" s="9"/>
      <c r="AL89" s="1"/>
      <c r="AM89" s="1"/>
      <c r="AN89" s="19" t="s">
        <v>35</v>
      </c>
      <c r="AO89" s="30" t="s">
        <v>22</v>
      </c>
      <c r="AP89" s="30" t="s">
        <v>23</v>
      </c>
      <c r="AQ89" s="1"/>
      <c r="AR89" s="1" t="s">
        <v>22</v>
      </c>
      <c r="AS89" s="1" t="s">
        <v>23</v>
      </c>
      <c r="AT89" s="1"/>
      <c r="AU89" s="1" t="s">
        <v>22</v>
      </c>
      <c r="AV89" s="1" t="s">
        <v>23</v>
      </c>
      <c r="AW89" s="1"/>
      <c r="AX89" s="1"/>
      <c r="AY89" s="1"/>
    </row>
    <row r="90" spans="1:51" x14ac:dyDescent="0.25">
      <c r="A90" s="3" t="s">
        <v>42</v>
      </c>
      <c r="B90" s="1" t="s">
        <v>72</v>
      </c>
      <c r="C90" s="1" t="s">
        <v>336</v>
      </c>
      <c r="D90" s="9" t="str">
        <f>ROUND('[1]Puntos de control todos los dat'!M14,3)&amp;" - "&amp;ROUND('[1]Puntos de control todos los dat'!M14,3)</f>
        <v>217,3 - 217,3</v>
      </c>
      <c r="E90" s="39" t="s">
        <v>731</v>
      </c>
      <c r="F90" s="40" t="s">
        <v>731</v>
      </c>
      <c r="G90" s="40" t="s">
        <v>731</v>
      </c>
      <c r="H90" s="40" t="s">
        <v>731</v>
      </c>
      <c r="I90" s="40" t="s">
        <v>731</v>
      </c>
      <c r="J90" s="1"/>
      <c r="K90" s="1" t="s">
        <v>17</v>
      </c>
      <c r="L90" s="1" t="s">
        <v>337</v>
      </c>
      <c r="M90" s="9" t="str">
        <f>ROUND((3*MIN('[1]Puntos de control todos los dat'!M15,'[1]Puntos de control todos los dat'!M18)+MAX('[1]Puntos de control todos los dat'!M15,'[1]Puntos de control todos los dat'!M18))/4,3)&amp;" - "&amp;ROUND((MIN('[1]Puntos de control todos los dat'!M15,'[1]Puntos de control todos los dat'!M18)+3*MAX('[1]Puntos de control todos los dat'!M15,'[1]Puntos de control todos los dat'!M18))/4,3)</f>
        <v>198,775 - 204,325</v>
      </c>
      <c r="N90" s="39" t="s">
        <v>731</v>
      </c>
      <c r="O90" s="39" t="s">
        <v>731</v>
      </c>
      <c r="P90" s="39" t="s">
        <v>731</v>
      </c>
      <c r="Q90" s="39" t="s">
        <v>731</v>
      </c>
      <c r="R90" s="39" t="s">
        <v>731</v>
      </c>
      <c r="S90" s="9"/>
      <c r="T90" s="1" t="s">
        <v>63</v>
      </c>
      <c r="U90" s="1" t="s">
        <v>63</v>
      </c>
      <c r="V90" s="9" t="s">
        <v>63</v>
      </c>
      <c r="W90" s="39" t="s">
        <v>731</v>
      </c>
      <c r="X90" s="39" t="s">
        <v>731</v>
      </c>
      <c r="Y90" s="39" t="s">
        <v>731</v>
      </c>
      <c r="Z90" s="39" t="s">
        <v>731</v>
      </c>
      <c r="AA90" s="39" t="s">
        <v>731</v>
      </c>
      <c r="AB90" s="9"/>
      <c r="AC90" s="1" t="s">
        <v>17</v>
      </c>
      <c r="AD90" s="1" t="s">
        <v>338</v>
      </c>
      <c r="AE90" s="9" t="str">
        <f>ROUND((3*MIN('[1]Puntos de control todos los dat'!M65,'[1]Puntos de control todos los dat'!M66)+MAX('[1]Puntos de control todos los dat'!M65,'[1]Puntos de control todos los dat'!M66))/4,3)&amp;" - "&amp;ROUND((MIN('[1]Puntos de control todos los dat'!M65,'[1]Puntos de control todos los dat'!M66)+3*MAX('[1]Puntos de control todos los dat'!M65,'[1]Puntos de control todos los dat'!M66))/4,3)</f>
        <v>246,7 - 277,7</v>
      </c>
      <c r="AF90" s="39" t="s">
        <v>731</v>
      </c>
      <c r="AG90" s="39" t="s">
        <v>731</v>
      </c>
      <c r="AH90" s="39" t="s">
        <v>731</v>
      </c>
      <c r="AI90" s="39" t="s">
        <v>731</v>
      </c>
      <c r="AJ90" s="39" t="s">
        <v>731</v>
      </c>
      <c r="AK90" s="9"/>
      <c r="AL90" s="1"/>
      <c r="AM90" s="1"/>
      <c r="AN90" s="19" t="s">
        <v>42</v>
      </c>
      <c r="AO90" s="30" t="s">
        <v>22</v>
      </c>
      <c r="AP90" s="30" t="s">
        <v>23</v>
      </c>
      <c r="AQ90" s="1"/>
      <c r="AR90" s="1" t="s">
        <v>24</v>
      </c>
      <c r="AS90" s="1" t="s">
        <v>23</v>
      </c>
      <c r="AT90" s="1"/>
      <c r="AU90" s="3" t="s">
        <v>63</v>
      </c>
      <c r="AV90" s="3" t="s">
        <v>63</v>
      </c>
      <c r="AW90" s="1"/>
      <c r="AX90" s="1"/>
      <c r="AY90" s="1"/>
    </row>
    <row r="91" spans="1:51" x14ac:dyDescent="0.25">
      <c r="A91" s="3" t="s">
        <v>48</v>
      </c>
      <c r="B91" s="1" t="s">
        <v>63</v>
      </c>
      <c r="C91" s="1" t="s">
        <v>63</v>
      </c>
      <c r="D91" s="9" t="s">
        <v>63</v>
      </c>
      <c r="E91" s="39" t="s">
        <v>731</v>
      </c>
      <c r="F91" s="40" t="s">
        <v>731</v>
      </c>
      <c r="G91" s="40" t="s">
        <v>731</v>
      </c>
      <c r="H91" s="40" t="s">
        <v>731</v>
      </c>
      <c r="I91" s="40" t="s">
        <v>731</v>
      </c>
      <c r="J91" s="1"/>
      <c r="K91" s="1" t="s">
        <v>72</v>
      </c>
      <c r="L91" s="1" t="s">
        <v>339</v>
      </c>
      <c r="M91" s="9" t="str">
        <f>ROUND('[1]Puntos de control todos los dat'!M21,3)&amp;" - "&amp;ROUND('[1]Puntos de control todos los dat'!M21,3)</f>
        <v>207,6 - 207,6</v>
      </c>
      <c r="N91" s="39" t="s">
        <v>731</v>
      </c>
      <c r="O91" s="39" t="s">
        <v>731</v>
      </c>
      <c r="P91" s="39" t="s">
        <v>731</v>
      </c>
      <c r="Q91" s="39" t="s">
        <v>731</v>
      </c>
      <c r="R91" s="39" t="s">
        <v>731</v>
      </c>
      <c r="S91" s="9"/>
      <c r="T91" s="1" t="s">
        <v>63</v>
      </c>
      <c r="U91" s="1" t="s">
        <v>63</v>
      </c>
      <c r="V91" s="9" t="s">
        <v>63</v>
      </c>
      <c r="W91" s="39" t="s">
        <v>731</v>
      </c>
      <c r="X91" s="39" t="s">
        <v>731</v>
      </c>
      <c r="Y91" s="39" t="s">
        <v>731</v>
      </c>
      <c r="Z91" s="39" t="s">
        <v>731</v>
      </c>
      <c r="AA91" s="39" t="s">
        <v>731</v>
      </c>
      <c r="AB91" s="9"/>
      <c r="AC91" s="1" t="s">
        <v>17</v>
      </c>
      <c r="AD91" s="1" t="s">
        <v>340</v>
      </c>
      <c r="AE91" s="9" t="str">
        <f>ROUND((3*MIN('[1]Puntos de control todos los dat'!M67,'[1]Puntos de control todos los dat'!M68)+MAX('[1]Puntos de control todos los dat'!M67,'[1]Puntos de control todos los dat'!M68))/4,3)&amp;" - "&amp;ROUND((MIN('[1]Puntos de control todos los dat'!M67,'[1]Puntos de control todos los dat'!M68)+3*MAX('[1]Puntos de control todos los dat'!M67,'[1]Puntos de control todos los dat'!M68))/4,3)</f>
        <v>329,4 - 561,4</v>
      </c>
      <c r="AF91" s="39" t="s">
        <v>731</v>
      </c>
      <c r="AG91" s="39" t="s">
        <v>731</v>
      </c>
      <c r="AH91" s="39" t="s">
        <v>731</v>
      </c>
      <c r="AI91" s="39" t="s">
        <v>731</v>
      </c>
      <c r="AJ91" s="39" t="s">
        <v>731</v>
      </c>
      <c r="AK91" s="9"/>
      <c r="AL91" s="1"/>
      <c r="AM91" s="1"/>
      <c r="AN91" s="3" t="s">
        <v>48</v>
      </c>
      <c r="AO91" s="3" t="s">
        <v>63</v>
      </c>
      <c r="AP91" s="3" t="s">
        <v>63</v>
      </c>
      <c r="AQ91" s="1"/>
      <c r="AR91" s="1" t="s">
        <v>22</v>
      </c>
      <c r="AS91" s="1" t="s">
        <v>23</v>
      </c>
      <c r="AT91" s="1"/>
      <c r="AU91" s="3" t="s">
        <v>63</v>
      </c>
      <c r="AV91" s="3" t="s">
        <v>63</v>
      </c>
      <c r="AW91" s="1"/>
      <c r="AX91" s="1"/>
      <c r="AY91" s="1"/>
    </row>
    <row r="92" spans="1:51" x14ac:dyDescent="0.25">
      <c r="A92" s="3" t="s">
        <v>54</v>
      </c>
      <c r="B92" s="1" t="s">
        <v>17</v>
      </c>
      <c r="C92" s="1" t="s">
        <v>341</v>
      </c>
      <c r="D92" s="9" t="str">
        <f>ROUND((3*MIN('[1]Puntos de control todos los dat'!M29,'[1]Puntos de control todos los dat'!M35)+MAX('[1]Puntos de control todos los dat'!M29,'[1]Puntos de control todos los dat'!M35))/4,3)&amp;" - "&amp;ROUND((MIN('[1]Puntos de control todos los dat'!M29,'[1]Puntos de control todos los dat'!M35)+3*MAX('[1]Puntos de control todos los dat'!M29,'[1]Puntos de control todos los dat'!M35))/4,3)</f>
        <v>206,875 - 220,225</v>
      </c>
      <c r="E92" s="39" t="s">
        <v>731</v>
      </c>
      <c r="F92" s="40" t="s">
        <v>731</v>
      </c>
      <c r="G92" s="40" t="s">
        <v>731</v>
      </c>
      <c r="H92" s="40" t="s">
        <v>731</v>
      </c>
      <c r="I92" s="40" t="s">
        <v>731</v>
      </c>
      <c r="J92" s="1"/>
      <c r="K92" s="1" t="s">
        <v>63</v>
      </c>
      <c r="L92" s="1" t="s">
        <v>63</v>
      </c>
      <c r="M92" s="9" t="s">
        <v>63</v>
      </c>
      <c r="N92" s="39" t="s">
        <v>731</v>
      </c>
      <c r="O92" s="39" t="s">
        <v>731</v>
      </c>
      <c r="P92" s="39" t="s">
        <v>731</v>
      </c>
      <c r="Q92" s="39" t="s">
        <v>731</v>
      </c>
      <c r="R92" s="39" t="s">
        <v>731</v>
      </c>
      <c r="S92" s="9"/>
      <c r="T92" s="1" t="s">
        <v>63</v>
      </c>
      <c r="U92" s="1" t="s">
        <v>63</v>
      </c>
      <c r="V92" s="9" t="s">
        <v>63</v>
      </c>
      <c r="W92" s="39" t="s">
        <v>731</v>
      </c>
      <c r="X92" s="39" t="s">
        <v>731</v>
      </c>
      <c r="Y92" s="39" t="s">
        <v>731</v>
      </c>
      <c r="Z92" s="39" t="s">
        <v>731</v>
      </c>
      <c r="AA92" s="39" t="s">
        <v>731</v>
      </c>
      <c r="AB92" s="9"/>
      <c r="AC92" s="1" t="s">
        <v>72</v>
      </c>
      <c r="AD92" s="1" t="s">
        <v>342</v>
      </c>
      <c r="AE92" s="9" t="str">
        <f>ROUND('[1]Puntos de control todos los dat'!M70,3)&amp;" - "&amp;ROUND('[1]Puntos de control todos los dat'!M70,3)</f>
        <v>514,2 - 514,2</v>
      </c>
      <c r="AF92" s="39" t="s">
        <v>731</v>
      </c>
      <c r="AG92" s="39" t="s">
        <v>731</v>
      </c>
      <c r="AH92" s="39" t="s">
        <v>731</v>
      </c>
      <c r="AI92" s="39" t="s">
        <v>731</v>
      </c>
      <c r="AJ92" s="39" t="s">
        <v>731</v>
      </c>
      <c r="AK92" s="9"/>
      <c r="AL92" s="1"/>
      <c r="AM92" s="1"/>
      <c r="AN92" s="19" t="s">
        <v>54</v>
      </c>
      <c r="AO92" s="30" t="s">
        <v>22</v>
      </c>
      <c r="AP92" s="30" t="s">
        <v>23</v>
      </c>
      <c r="AQ92" s="1"/>
      <c r="AR92" s="3" t="s">
        <v>63</v>
      </c>
      <c r="AS92" s="3" t="s">
        <v>63</v>
      </c>
      <c r="AT92" s="1"/>
      <c r="AU92" s="3" t="s">
        <v>63</v>
      </c>
      <c r="AV92" s="3" t="s">
        <v>63</v>
      </c>
      <c r="AW92" s="1"/>
      <c r="AX92" s="1"/>
      <c r="AY92" s="1"/>
    </row>
    <row r="93" spans="1:51" x14ac:dyDescent="0.25">
      <c r="A93" s="3" t="s">
        <v>59</v>
      </c>
      <c r="B93" s="1" t="s">
        <v>17</v>
      </c>
      <c r="C93" s="1" t="s">
        <v>343</v>
      </c>
      <c r="D93" s="9" t="str">
        <f>ROUND((3*MIN('[1]Puntos de control todos los dat'!M47,'[1]Puntos de control todos los dat'!M50)+MAX('[1]Puntos de control todos los dat'!M47,'[1]Puntos de control todos los dat'!M50))/4,3)&amp;" - "&amp;ROUND((MIN('[1]Puntos de control todos los dat'!M47,'[1]Puntos de control todos los dat'!M50)+3*MAX('[1]Puntos de control todos los dat'!M47,'[1]Puntos de control todos los dat'!M50))/4,3)</f>
        <v>190,475 - 217,025</v>
      </c>
      <c r="E93" s="39" t="s">
        <v>731</v>
      </c>
      <c r="F93" s="40" t="s">
        <v>731</v>
      </c>
      <c r="G93" s="40" t="s">
        <v>731</v>
      </c>
      <c r="H93" s="40" t="s">
        <v>731</v>
      </c>
      <c r="I93" s="40" t="s">
        <v>731</v>
      </c>
      <c r="J93" s="1"/>
      <c r="K93" s="1" t="s">
        <v>17</v>
      </c>
      <c r="L93" s="1" t="s">
        <v>344</v>
      </c>
      <c r="M93" s="9" t="str">
        <f>ROUND((3*MIN('[1]Puntos de control todos los dat'!M48,'[1]Puntos de control todos los dat'!M51)+MAX('[1]Puntos de control todos los dat'!M48,'[1]Puntos de control todos los dat'!M51))/4,3)&amp;" - "&amp;ROUND((MIN('[1]Puntos de control todos los dat'!M48,'[1]Puntos de control todos los dat'!M51)+3*MAX('[1]Puntos de control todos los dat'!M48,'[1]Puntos de control todos los dat'!M51))/4,3)</f>
        <v>193,125 - 208,775</v>
      </c>
      <c r="N93" s="39" t="s">
        <v>731</v>
      </c>
      <c r="O93" s="39" t="s">
        <v>731</v>
      </c>
      <c r="P93" s="39" t="s">
        <v>731</v>
      </c>
      <c r="Q93" s="39" t="s">
        <v>731</v>
      </c>
      <c r="R93" s="39" t="s">
        <v>731</v>
      </c>
      <c r="S93" s="9"/>
      <c r="T93" s="1" t="s">
        <v>72</v>
      </c>
      <c r="U93" s="1" t="s">
        <v>345</v>
      </c>
      <c r="V93" s="9" t="str">
        <f>ROUND('[1]Puntos de control todos los dat'!M52,3)&amp;" - "&amp;ROUND('[1]Puntos de control todos los dat'!M52,3)</f>
        <v>223,9 - 223,9</v>
      </c>
      <c r="W93" s="39" t="s">
        <v>731</v>
      </c>
      <c r="X93" s="39" t="s">
        <v>731</v>
      </c>
      <c r="Y93" s="39" t="s">
        <v>731</v>
      </c>
      <c r="Z93" s="39" t="s">
        <v>731</v>
      </c>
      <c r="AA93" s="39" t="s">
        <v>731</v>
      </c>
      <c r="AB93" s="9"/>
      <c r="AC93" s="1" t="s">
        <v>63</v>
      </c>
      <c r="AD93" s="1" t="s">
        <v>63</v>
      </c>
      <c r="AE93" s="9" t="s">
        <v>63</v>
      </c>
      <c r="AF93" s="39" t="s">
        <v>731</v>
      </c>
      <c r="AG93" s="39" t="s">
        <v>731</v>
      </c>
      <c r="AH93" s="39" t="s">
        <v>731</v>
      </c>
      <c r="AI93" s="39" t="s">
        <v>731</v>
      </c>
      <c r="AJ93" s="39" t="s">
        <v>731</v>
      </c>
      <c r="AK93" s="9"/>
      <c r="AL93" s="1"/>
      <c r="AM93" s="1"/>
      <c r="AN93" s="3" t="s">
        <v>59</v>
      </c>
      <c r="AO93" s="3" t="s">
        <v>63</v>
      </c>
      <c r="AP93" s="3" t="s">
        <v>63</v>
      </c>
      <c r="AQ93" s="3"/>
      <c r="AR93" s="3" t="s">
        <v>63</v>
      </c>
      <c r="AS93" s="3" t="s">
        <v>63</v>
      </c>
      <c r="AT93" s="3"/>
      <c r="AU93" s="3" t="s">
        <v>63</v>
      </c>
      <c r="AV93" s="3" t="s">
        <v>63</v>
      </c>
      <c r="AW93" s="1"/>
      <c r="AX93" s="1"/>
      <c r="AY93" s="1"/>
    </row>
    <row r="94" spans="1:51" x14ac:dyDescent="0.25">
      <c r="A94" s="3" t="s">
        <v>64</v>
      </c>
      <c r="B94" s="1" t="s">
        <v>72</v>
      </c>
      <c r="C94" s="1" t="s">
        <v>346</v>
      </c>
      <c r="D94" s="9" t="str">
        <f>ROUND('[1]Puntos de control todos los dat'!M56,3)&amp;" - "&amp;ROUND('[1]Puntos de control todos los dat'!M56,3)</f>
        <v>237,5 - 237,5</v>
      </c>
      <c r="E94" s="39" t="s">
        <v>731</v>
      </c>
      <c r="F94" s="40" t="s">
        <v>731</v>
      </c>
      <c r="G94" s="40" t="s">
        <v>731</v>
      </c>
      <c r="H94" s="40" t="s">
        <v>731</v>
      </c>
      <c r="I94" s="40" t="s">
        <v>731</v>
      </c>
      <c r="J94" s="1"/>
      <c r="K94" s="1" t="s">
        <v>63</v>
      </c>
      <c r="L94" s="1" t="s">
        <v>63</v>
      </c>
      <c r="M94" s="9" t="s">
        <v>63</v>
      </c>
      <c r="N94" s="39" t="s">
        <v>731</v>
      </c>
      <c r="O94" s="39" t="s">
        <v>731</v>
      </c>
      <c r="P94" s="39" t="s">
        <v>731</v>
      </c>
      <c r="Q94" s="39" t="s">
        <v>731</v>
      </c>
      <c r="R94" s="39" t="s">
        <v>731</v>
      </c>
      <c r="S94" s="9"/>
      <c r="T94" s="1" t="s">
        <v>72</v>
      </c>
      <c r="U94" s="1" t="s">
        <v>347</v>
      </c>
      <c r="V94" s="9" t="str">
        <f>ROUND('[1]Puntos de control todos los dat'!M58,3)&amp;" - "&amp;ROUND('[1]Puntos de control todos los dat'!M58,3)</f>
        <v>208,2 - 208,2</v>
      </c>
      <c r="W94" s="39" t="s">
        <v>731</v>
      </c>
      <c r="X94" s="39" t="s">
        <v>731</v>
      </c>
      <c r="Y94" s="39" t="s">
        <v>731</v>
      </c>
      <c r="Z94" s="39" t="s">
        <v>731</v>
      </c>
      <c r="AA94" s="39" t="s">
        <v>731</v>
      </c>
      <c r="AB94" s="9"/>
      <c r="AC94" s="1" t="s">
        <v>63</v>
      </c>
      <c r="AD94" s="1" t="s">
        <v>63</v>
      </c>
      <c r="AE94" s="9" t="s">
        <v>63</v>
      </c>
      <c r="AF94" s="39" t="s">
        <v>731</v>
      </c>
      <c r="AG94" s="39" t="s">
        <v>731</v>
      </c>
      <c r="AH94" s="39" t="s">
        <v>731</v>
      </c>
      <c r="AI94" s="39" t="s">
        <v>731</v>
      </c>
      <c r="AJ94" s="39" t="s">
        <v>731</v>
      </c>
      <c r="AK94" s="9"/>
      <c r="AL94" s="1"/>
      <c r="AM94" s="1"/>
      <c r="AN94" s="3" t="s">
        <v>64</v>
      </c>
      <c r="AO94" s="3" t="s">
        <v>63</v>
      </c>
      <c r="AP94" s="3" t="s">
        <v>63</v>
      </c>
      <c r="AQ94" s="3"/>
      <c r="AR94" s="3" t="s">
        <v>63</v>
      </c>
      <c r="AS94" s="3" t="s">
        <v>63</v>
      </c>
      <c r="AT94" s="3"/>
      <c r="AU94" s="3" t="s">
        <v>63</v>
      </c>
      <c r="AV94" s="3" t="s">
        <v>63</v>
      </c>
      <c r="AW94" s="1"/>
      <c r="AX94" s="1"/>
      <c r="AY94" s="1"/>
    </row>
    <row r="95" spans="1:51" x14ac:dyDescent="0.25">
      <c r="A95" s="20" t="s">
        <v>348</v>
      </c>
      <c r="B95" s="1"/>
      <c r="C95" s="1"/>
      <c r="D95" s="9"/>
      <c r="E95" s="9"/>
      <c r="F95" s="1"/>
      <c r="G95" s="1"/>
      <c r="H95" s="1"/>
      <c r="I95" s="1"/>
      <c r="J95" s="1"/>
      <c r="K95" s="1"/>
      <c r="L95" s="1"/>
      <c r="M95" s="9"/>
      <c r="N95" s="9"/>
      <c r="O95" s="9"/>
      <c r="S95" s="9"/>
      <c r="T95" s="1"/>
      <c r="U95" s="1"/>
      <c r="V95" s="9"/>
      <c r="W95" s="9"/>
      <c r="X95" s="9"/>
      <c r="AB95" s="9"/>
      <c r="AC95" s="1"/>
      <c r="AD95" s="1"/>
      <c r="AE95" s="9"/>
      <c r="AF95" s="9"/>
      <c r="AG95" s="9"/>
      <c r="AK95" s="9"/>
      <c r="AL95" s="1"/>
      <c r="AM95" s="1"/>
      <c r="AN95" s="1" t="s">
        <v>348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3" t="s">
        <v>14</v>
      </c>
      <c r="B96" s="1" t="s">
        <v>15</v>
      </c>
      <c r="C96" s="1" t="s">
        <v>349</v>
      </c>
      <c r="D96" s="9" t="str">
        <f>ROUND((MIN('[1]Puntos de control todos los dat'!N38,'[1]Puntos de control todos los dat'!N41,'[1]Puntos de control todos los dat'!N44)+MEDIAN('[1]Puntos de control todos los dat'!N38,'[1]Puntos de control todos los dat'!N41,'[1]Puntos de control todos los dat'!N44))/2,3)&amp;" - "&amp;ROUND((MEDIAN('[1]Puntos de control todos los dat'!N38,'[1]Puntos de control todos los dat'!N41,'[1]Puntos de control todos los dat'!N44)+MAX('[1]Puntos de control todos los dat'!N38,'[1]Puntos de control todos los dat'!N41,'[1]Puntos de control todos los dat'!N44))/2,3)</f>
        <v>180,7 - 216</v>
      </c>
      <c r="E96" s="39">
        <v>1</v>
      </c>
      <c r="F96" s="40">
        <v>0</v>
      </c>
      <c r="G96" s="40">
        <v>0</v>
      </c>
      <c r="H96" s="40">
        <v>0</v>
      </c>
      <c r="I96" s="40">
        <v>0</v>
      </c>
      <c r="J96" s="1"/>
      <c r="K96" s="1" t="s">
        <v>63</v>
      </c>
      <c r="L96" s="1" t="s">
        <v>63</v>
      </c>
      <c r="M96" s="9" t="s">
        <v>63</v>
      </c>
      <c r="N96" s="39" t="s">
        <v>731</v>
      </c>
      <c r="O96" s="39" t="s">
        <v>731</v>
      </c>
      <c r="P96" s="39" t="s">
        <v>731</v>
      </c>
      <c r="Q96" s="39" t="s">
        <v>731</v>
      </c>
      <c r="R96" s="39" t="s">
        <v>731</v>
      </c>
      <c r="S96" s="9"/>
      <c r="T96" s="1" t="s">
        <v>63</v>
      </c>
      <c r="U96" s="1" t="s">
        <v>63</v>
      </c>
      <c r="V96" s="9" t="s">
        <v>63</v>
      </c>
      <c r="W96" s="39" t="s">
        <v>731</v>
      </c>
      <c r="X96" s="39" t="s">
        <v>731</v>
      </c>
      <c r="Y96" s="39" t="s">
        <v>731</v>
      </c>
      <c r="Z96" s="39" t="s">
        <v>731</v>
      </c>
      <c r="AA96" s="39" t="s">
        <v>731</v>
      </c>
      <c r="AB96" s="9"/>
      <c r="AC96" s="1" t="s">
        <v>63</v>
      </c>
      <c r="AD96" s="1" t="s">
        <v>63</v>
      </c>
      <c r="AE96" s="9" t="s">
        <v>63</v>
      </c>
      <c r="AF96" s="39" t="s">
        <v>731</v>
      </c>
      <c r="AG96" s="39" t="s">
        <v>731</v>
      </c>
      <c r="AH96" s="39" t="s">
        <v>731</v>
      </c>
      <c r="AI96" s="39" t="s">
        <v>731</v>
      </c>
      <c r="AJ96" s="39" t="s">
        <v>731</v>
      </c>
      <c r="AK96" s="9"/>
      <c r="AL96" s="1"/>
      <c r="AM96" s="1"/>
      <c r="AN96" s="3" t="s">
        <v>14</v>
      </c>
      <c r="AO96" s="1" t="s">
        <v>63</v>
      </c>
      <c r="AP96" s="1" t="s">
        <v>63</v>
      </c>
      <c r="AQ96" s="1"/>
      <c r="AR96" s="1" t="s">
        <v>63</v>
      </c>
      <c r="AS96" s="1" t="s">
        <v>63</v>
      </c>
      <c r="AT96" s="1"/>
      <c r="AU96" s="1" t="s">
        <v>63</v>
      </c>
      <c r="AV96" s="1" t="s">
        <v>63</v>
      </c>
      <c r="AW96" s="1"/>
      <c r="AX96" s="1"/>
      <c r="AY96" s="1"/>
    </row>
    <row r="97" spans="1:51" x14ac:dyDescent="0.25">
      <c r="A97" s="3" t="s">
        <v>25</v>
      </c>
      <c r="B97" s="1" t="s">
        <v>72</v>
      </c>
      <c r="C97" s="1" t="s">
        <v>350</v>
      </c>
      <c r="D97" s="9" t="str">
        <f>ROUND('[1]Puntos de control todos los dat'!N71,3)&amp;" - "&amp;ROUND('[1]Puntos de control todos los dat'!N71,3)</f>
        <v>359,8 - 359,8</v>
      </c>
      <c r="E97" s="39" t="s">
        <v>731</v>
      </c>
      <c r="F97" s="40" t="s">
        <v>731</v>
      </c>
      <c r="G97" s="40" t="s">
        <v>731</v>
      </c>
      <c r="H97" s="40" t="s">
        <v>731</v>
      </c>
      <c r="I97" s="40" t="s">
        <v>731</v>
      </c>
      <c r="J97" s="1"/>
      <c r="K97" s="1" t="s">
        <v>63</v>
      </c>
      <c r="L97" s="1" t="s">
        <v>63</v>
      </c>
      <c r="M97" s="9" t="s">
        <v>63</v>
      </c>
      <c r="N97" s="39" t="s">
        <v>731</v>
      </c>
      <c r="O97" s="39" t="s">
        <v>731</v>
      </c>
      <c r="P97" s="39" t="s">
        <v>731</v>
      </c>
      <c r="Q97" s="39" t="s">
        <v>731</v>
      </c>
      <c r="R97" s="39" t="s">
        <v>731</v>
      </c>
      <c r="S97" s="9"/>
      <c r="T97" s="1" t="s">
        <v>63</v>
      </c>
      <c r="U97" s="1" t="s">
        <v>63</v>
      </c>
      <c r="V97" s="9" t="s">
        <v>63</v>
      </c>
      <c r="W97" s="39" t="s">
        <v>731</v>
      </c>
      <c r="X97" s="39" t="s">
        <v>731</v>
      </c>
      <c r="Y97" s="39" t="s">
        <v>731</v>
      </c>
      <c r="Z97" s="39" t="s">
        <v>731</v>
      </c>
      <c r="AA97" s="39" t="s">
        <v>731</v>
      </c>
      <c r="AB97" s="9"/>
      <c r="AC97" s="1" t="s">
        <v>63</v>
      </c>
      <c r="AD97" s="1" t="s">
        <v>63</v>
      </c>
      <c r="AE97" s="9" t="s">
        <v>63</v>
      </c>
      <c r="AF97" s="39" t="s">
        <v>731</v>
      </c>
      <c r="AG97" s="39" t="s">
        <v>731</v>
      </c>
      <c r="AH97" s="39" t="s">
        <v>731</v>
      </c>
      <c r="AI97" s="39" t="s">
        <v>731</v>
      </c>
      <c r="AJ97" s="39" t="s">
        <v>731</v>
      </c>
      <c r="AK97" s="9"/>
      <c r="AL97" s="1"/>
      <c r="AM97" s="1"/>
      <c r="AN97" s="3" t="s">
        <v>25</v>
      </c>
      <c r="AO97" s="1" t="s">
        <v>63</v>
      </c>
      <c r="AP97" s="1" t="s">
        <v>63</v>
      </c>
      <c r="AQ97" s="1"/>
      <c r="AR97" s="1" t="s">
        <v>63</v>
      </c>
      <c r="AS97" s="1" t="s">
        <v>63</v>
      </c>
      <c r="AT97" s="1"/>
      <c r="AU97" s="1" t="s">
        <v>63</v>
      </c>
      <c r="AV97" s="1" t="s">
        <v>63</v>
      </c>
      <c r="AW97" s="1"/>
      <c r="AX97" s="1"/>
      <c r="AY97" s="1"/>
    </row>
    <row r="98" spans="1:51" x14ac:dyDescent="0.25">
      <c r="A98" s="3" t="s">
        <v>35</v>
      </c>
      <c r="B98" s="1" t="s">
        <v>63</v>
      </c>
      <c r="C98" s="1" t="s">
        <v>63</v>
      </c>
      <c r="D98" s="9" t="s">
        <v>63</v>
      </c>
      <c r="E98" s="39" t="s">
        <v>731</v>
      </c>
      <c r="F98" s="40" t="s">
        <v>731</v>
      </c>
      <c r="G98" s="40" t="s">
        <v>731</v>
      </c>
      <c r="H98" s="40" t="s">
        <v>731</v>
      </c>
      <c r="I98" s="40" t="s">
        <v>731</v>
      </c>
      <c r="J98" s="1"/>
      <c r="K98" s="1" t="s">
        <v>63</v>
      </c>
      <c r="L98" s="1" t="s">
        <v>63</v>
      </c>
      <c r="M98" s="9" t="s">
        <v>63</v>
      </c>
      <c r="N98" s="39" t="s">
        <v>731</v>
      </c>
      <c r="O98" s="39" t="s">
        <v>731</v>
      </c>
      <c r="P98" s="39" t="s">
        <v>731</v>
      </c>
      <c r="Q98" s="39" t="s">
        <v>731</v>
      </c>
      <c r="R98" s="39" t="s">
        <v>731</v>
      </c>
      <c r="S98" s="9"/>
      <c r="T98" s="1" t="s">
        <v>63</v>
      </c>
      <c r="U98" s="1" t="s">
        <v>63</v>
      </c>
      <c r="V98" s="9" t="s">
        <v>63</v>
      </c>
      <c r="W98" s="39" t="s">
        <v>731</v>
      </c>
      <c r="X98" s="39" t="s">
        <v>731</v>
      </c>
      <c r="Y98" s="39" t="s">
        <v>731</v>
      </c>
      <c r="Z98" s="39" t="s">
        <v>731</v>
      </c>
      <c r="AA98" s="39" t="s">
        <v>731</v>
      </c>
      <c r="AB98" s="9"/>
      <c r="AC98" s="1" t="s">
        <v>72</v>
      </c>
      <c r="AD98" s="1" t="s">
        <v>351</v>
      </c>
      <c r="AE98" s="9" t="str">
        <f>ROUND('[1]Puntos de control todos los dat'!N64,3)&amp;" - "&amp;ROUND('[1]Puntos de control todos los dat'!N64,3)</f>
        <v>739 - 739</v>
      </c>
      <c r="AF98" s="39" t="s">
        <v>731</v>
      </c>
      <c r="AG98" s="39" t="s">
        <v>731</v>
      </c>
      <c r="AH98" s="39" t="s">
        <v>731</v>
      </c>
      <c r="AI98" s="39" t="s">
        <v>731</v>
      </c>
      <c r="AJ98" s="39" t="s">
        <v>731</v>
      </c>
      <c r="AK98" s="9"/>
      <c r="AL98" s="1"/>
      <c r="AM98" s="1"/>
      <c r="AN98" s="3" t="s">
        <v>35</v>
      </c>
      <c r="AO98" s="1" t="s">
        <v>63</v>
      </c>
      <c r="AP98" s="1" t="s">
        <v>63</v>
      </c>
      <c r="AQ98" s="1"/>
      <c r="AR98" s="1" t="s">
        <v>63</v>
      </c>
      <c r="AS98" s="1" t="s">
        <v>63</v>
      </c>
      <c r="AT98" s="1"/>
      <c r="AU98" s="1" t="s">
        <v>63</v>
      </c>
      <c r="AV98" s="1" t="s">
        <v>63</v>
      </c>
      <c r="AW98" s="1"/>
      <c r="AX98" s="1"/>
      <c r="AY98" s="1"/>
    </row>
    <row r="99" spans="1:51" x14ac:dyDescent="0.25">
      <c r="A99" s="3" t="s">
        <v>42</v>
      </c>
      <c r="B99" s="1" t="s">
        <v>63</v>
      </c>
      <c r="C99" s="1" t="s">
        <v>63</v>
      </c>
      <c r="D99" s="9" t="s">
        <v>63</v>
      </c>
      <c r="E99" s="39" t="s">
        <v>731</v>
      </c>
      <c r="F99" s="40" t="s">
        <v>731</v>
      </c>
      <c r="G99" s="40" t="s">
        <v>731</v>
      </c>
      <c r="H99" s="40" t="s">
        <v>731</v>
      </c>
      <c r="I99" s="40" t="s">
        <v>731</v>
      </c>
      <c r="J99" s="1"/>
      <c r="K99" s="1" t="s">
        <v>63</v>
      </c>
      <c r="L99" s="1" t="s">
        <v>63</v>
      </c>
      <c r="M99" s="9" t="s">
        <v>63</v>
      </c>
      <c r="N99" s="39" t="s">
        <v>731</v>
      </c>
      <c r="O99" s="39" t="s">
        <v>731</v>
      </c>
      <c r="P99" s="39" t="s">
        <v>731</v>
      </c>
      <c r="Q99" s="39" t="s">
        <v>731</v>
      </c>
      <c r="R99" s="39" t="s">
        <v>731</v>
      </c>
      <c r="S99" s="9"/>
      <c r="T99" s="1" t="s">
        <v>63</v>
      </c>
      <c r="U99" s="1" t="s">
        <v>63</v>
      </c>
      <c r="V99" s="9" t="s">
        <v>63</v>
      </c>
      <c r="W99" s="39" t="s">
        <v>731</v>
      </c>
      <c r="X99" s="39" t="s">
        <v>731</v>
      </c>
      <c r="Y99" s="39" t="s">
        <v>731</v>
      </c>
      <c r="Z99" s="39" t="s">
        <v>731</v>
      </c>
      <c r="AA99" s="39" t="s">
        <v>731</v>
      </c>
      <c r="AB99" s="9"/>
      <c r="AC99" s="1" t="s">
        <v>17</v>
      </c>
      <c r="AD99" s="1" t="s">
        <v>352</v>
      </c>
      <c r="AE99" s="9" t="str">
        <f>ROUND((3*MIN('[1]Puntos de control todos los dat'!N65,'[1]Puntos de control todos los dat'!N66)+MAX('[1]Puntos de control todos los dat'!N65,'[1]Puntos de control todos los dat'!N66))/4,3)&amp;" - "&amp;ROUND((MIN('[1]Puntos de control todos los dat'!N65,'[1]Puntos de control todos los dat'!N66)+3*MAX('[1]Puntos de control todos los dat'!N65,'[1]Puntos de control todos los dat'!N66))/4,3)</f>
        <v>353,4 - 627,6</v>
      </c>
      <c r="AF99" s="39" t="s">
        <v>731</v>
      </c>
      <c r="AG99" s="39" t="s">
        <v>731</v>
      </c>
      <c r="AH99" s="39" t="s">
        <v>731</v>
      </c>
      <c r="AI99" s="39" t="s">
        <v>731</v>
      </c>
      <c r="AJ99" s="39" t="s">
        <v>731</v>
      </c>
      <c r="AK99" s="9"/>
      <c r="AL99" s="1"/>
      <c r="AM99" s="1"/>
      <c r="AN99" s="3" t="s">
        <v>42</v>
      </c>
      <c r="AO99" s="1" t="s">
        <v>63</v>
      </c>
      <c r="AP99" s="1" t="s">
        <v>63</v>
      </c>
      <c r="AQ99" s="1"/>
      <c r="AR99" s="1" t="s">
        <v>63</v>
      </c>
      <c r="AS99" s="1" t="s">
        <v>63</v>
      </c>
      <c r="AT99" s="1"/>
      <c r="AU99" s="1" t="s">
        <v>63</v>
      </c>
      <c r="AV99" s="1" t="s">
        <v>63</v>
      </c>
      <c r="AW99" s="1"/>
      <c r="AX99" s="1"/>
      <c r="AY99" s="1"/>
    </row>
    <row r="100" spans="1:51" x14ac:dyDescent="0.25">
      <c r="A100" s="3" t="s">
        <v>48</v>
      </c>
      <c r="B100" s="1" t="s">
        <v>63</v>
      </c>
      <c r="C100" s="1" t="s">
        <v>63</v>
      </c>
      <c r="D100" s="9" t="s">
        <v>63</v>
      </c>
      <c r="E100" s="39" t="s">
        <v>731</v>
      </c>
      <c r="F100" s="40" t="s">
        <v>731</v>
      </c>
      <c r="G100" s="40" t="s">
        <v>731</v>
      </c>
      <c r="H100" s="40" t="s">
        <v>731</v>
      </c>
      <c r="I100" s="40" t="s">
        <v>731</v>
      </c>
      <c r="J100" s="1"/>
      <c r="K100" s="1" t="s">
        <v>63</v>
      </c>
      <c r="L100" s="1" t="s">
        <v>63</v>
      </c>
      <c r="M100" s="9" t="s">
        <v>63</v>
      </c>
      <c r="N100" s="39" t="s">
        <v>731</v>
      </c>
      <c r="O100" s="39" t="s">
        <v>731</v>
      </c>
      <c r="P100" s="39" t="s">
        <v>731</v>
      </c>
      <c r="Q100" s="39" t="s">
        <v>731</v>
      </c>
      <c r="R100" s="39" t="s">
        <v>731</v>
      </c>
      <c r="S100" s="9"/>
      <c r="T100" s="1" t="s">
        <v>63</v>
      </c>
      <c r="U100" s="1" t="s">
        <v>63</v>
      </c>
      <c r="V100" s="9" t="s">
        <v>63</v>
      </c>
      <c r="W100" s="39" t="s">
        <v>731</v>
      </c>
      <c r="X100" s="39" t="s">
        <v>731</v>
      </c>
      <c r="Y100" s="39" t="s">
        <v>731</v>
      </c>
      <c r="Z100" s="39" t="s">
        <v>731</v>
      </c>
      <c r="AA100" s="39" t="s">
        <v>731</v>
      </c>
      <c r="AB100" s="9"/>
      <c r="AC100" s="1" t="s">
        <v>17</v>
      </c>
      <c r="AD100" s="1" t="s">
        <v>353</v>
      </c>
      <c r="AE100" s="9" t="str">
        <f>ROUND((3*MIN('[1]Puntos de control todos los dat'!N67,'[1]Puntos de control todos los dat'!N68)+MAX('[1]Puntos de control todos los dat'!N67,'[1]Puntos de control todos los dat'!N68))/4,3)&amp;" - "&amp;ROUND((MIN('[1]Puntos de control todos los dat'!N67,'[1]Puntos de control todos los dat'!N68)+3*MAX('[1]Puntos de control todos los dat'!N67,'[1]Puntos de control todos los dat'!N68))/4,3)</f>
        <v>230,6 - 243,8</v>
      </c>
      <c r="AF100" s="39" t="s">
        <v>731</v>
      </c>
      <c r="AG100" s="39" t="s">
        <v>731</v>
      </c>
      <c r="AH100" s="39" t="s">
        <v>731</v>
      </c>
      <c r="AI100" s="39" t="s">
        <v>731</v>
      </c>
      <c r="AJ100" s="39" t="s">
        <v>731</v>
      </c>
      <c r="AK100" s="9"/>
      <c r="AL100" s="1"/>
      <c r="AM100" s="1"/>
      <c r="AN100" s="3" t="s">
        <v>48</v>
      </c>
      <c r="AO100" s="1" t="s">
        <v>63</v>
      </c>
      <c r="AP100" s="1" t="s">
        <v>63</v>
      </c>
      <c r="AQ100" s="1"/>
      <c r="AR100" s="1" t="s">
        <v>63</v>
      </c>
      <c r="AS100" s="1" t="s">
        <v>63</v>
      </c>
      <c r="AT100" s="1"/>
      <c r="AU100" s="1" t="s">
        <v>63</v>
      </c>
      <c r="AV100" s="1" t="s">
        <v>63</v>
      </c>
      <c r="AW100" s="1"/>
      <c r="AX100" s="1"/>
      <c r="AY100" s="1"/>
    </row>
    <row r="101" spans="1:51" x14ac:dyDescent="0.25">
      <c r="A101" s="3" t="s">
        <v>54</v>
      </c>
      <c r="B101" s="1" t="s">
        <v>17</v>
      </c>
      <c r="C101" s="1" t="s">
        <v>354</v>
      </c>
      <c r="D101" s="9" t="str">
        <f>ROUND((3*MIN('[1]Puntos de control todos los dat'!N29,'[1]Puntos de control todos los dat'!N35)+MAX('[1]Puntos de control todos los dat'!N29,'[1]Puntos de control todos los dat'!N35))/4,3)&amp;" - "&amp;ROUND((MIN('[1]Puntos de control todos los dat'!N29,'[1]Puntos de control todos los dat'!N35)+3*MAX('[1]Puntos de control todos los dat'!N29,'[1]Puntos de control todos los dat'!N35))/4,3)</f>
        <v>211,3 - 225,3</v>
      </c>
      <c r="E101" s="39">
        <v>1.1168144611186903</v>
      </c>
      <c r="F101" s="40">
        <v>0.15938952757813535</v>
      </c>
      <c r="G101" s="40">
        <v>11.681446111869032</v>
      </c>
      <c r="H101" s="40">
        <v>22.833333333333343</v>
      </c>
      <c r="I101" s="40">
        <v>5.5184081205188133E-2</v>
      </c>
      <c r="J101" s="1"/>
      <c r="K101" s="1" t="s">
        <v>63</v>
      </c>
      <c r="L101" s="1" t="s">
        <v>63</v>
      </c>
      <c r="M101" s="9" t="s">
        <v>63</v>
      </c>
      <c r="N101" s="39" t="s">
        <v>731</v>
      </c>
      <c r="O101" s="39" t="s">
        <v>731</v>
      </c>
      <c r="P101" s="39" t="s">
        <v>731</v>
      </c>
      <c r="Q101" s="39" t="s">
        <v>731</v>
      </c>
      <c r="R101" s="39" t="s">
        <v>731</v>
      </c>
      <c r="S101" s="9"/>
      <c r="T101" s="1" t="s">
        <v>63</v>
      </c>
      <c r="U101" s="1" t="s">
        <v>63</v>
      </c>
      <c r="V101" s="9" t="s">
        <v>63</v>
      </c>
      <c r="W101" s="39" t="s">
        <v>731</v>
      </c>
      <c r="X101" s="39" t="s">
        <v>731</v>
      </c>
      <c r="Y101" s="39" t="s">
        <v>731</v>
      </c>
      <c r="Z101" s="39" t="s">
        <v>731</v>
      </c>
      <c r="AA101" s="39" t="s">
        <v>731</v>
      </c>
      <c r="AB101" s="9"/>
      <c r="AC101" s="1" t="s">
        <v>72</v>
      </c>
      <c r="AD101" s="1" t="s">
        <v>355</v>
      </c>
      <c r="AE101" s="9" t="str">
        <f>ROUND('[1]Puntos de control todos los dat'!N70,3)&amp;" - "&amp;ROUND('[1]Puntos de control todos los dat'!N70,3)</f>
        <v>396,5 - 396,5</v>
      </c>
      <c r="AF101" s="39" t="s">
        <v>731</v>
      </c>
      <c r="AG101" s="39" t="s">
        <v>731</v>
      </c>
      <c r="AH101" s="39" t="s">
        <v>731</v>
      </c>
      <c r="AI101" s="39" t="s">
        <v>731</v>
      </c>
      <c r="AJ101" s="39" t="s">
        <v>731</v>
      </c>
      <c r="AK101" s="9"/>
      <c r="AL101" s="1"/>
      <c r="AM101" s="1"/>
      <c r="AN101" s="10" t="s">
        <v>54</v>
      </c>
      <c r="AO101" s="22" t="s">
        <v>22</v>
      </c>
      <c r="AP101" s="22" t="s">
        <v>23</v>
      </c>
      <c r="AQ101" s="1"/>
      <c r="AR101" s="1" t="s">
        <v>63</v>
      </c>
      <c r="AS101" s="1" t="s">
        <v>63</v>
      </c>
      <c r="AT101" s="1"/>
      <c r="AU101" s="1" t="s">
        <v>63</v>
      </c>
      <c r="AV101" s="1" t="s">
        <v>63</v>
      </c>
      <c r="AW101" s="1"/>
      <c r="AX101" s="1"/>
      <c r="AY101" s="1"/>
    </row>
    <row r="102" spans="1:51" x14ac:dyDescent="0.25">
      <c r="A102" s="3" t="s">
        <v>59</v>
      </c>
      <c r="B102" s="1" t="s">
        <v>72</v>
      </c>
      <c r="C102" s="1" t="s">
        <v>356</v>
      </c>
      <c r="D102" s="9" t="str">
        <f>ROUND('[1]Puntos de control todos los dat'!N50,3)&amp;" - "&amp;ROUND('[1]Puntos de control todos los dat'!N50,3)</f>
        <v>163,5 - 163,5</v>
      </c>
      <c r="E102" s="39" t="s">
        <v>731</v>
      </c>
      <c r="F102" s="40" t="s">
        <v>731</v>
      </c>
      <c r="G102" s="40" t="s">
        <v>731</v>
      </c>
      <c r="H102" s="40" t="s">
        <v>731</v>
      </c>
      <c r="I102" s="40" t="s">
        <v>731</v>
      </c>
      <c r="J102" s="1"/>
      <c r="K102" s="1" t="s">
        <v>72</v>
      </c>
      <c r="L102" s="1" t="s">
        <v>357</v>
      </c>
      <c r="M102" s="9" t="str">
        <f>ROUND('[1]Puntos de control todos los dat'!N51,3)&amp;" - "&amp;ROUND('[1]Puntos de control todos los dat'!N51,3)</f>
        <v>165,6 - 165,6</v>
      </c>
      <c r="N102" s="39" t="s">
        <v>731</v>
      </c>
      <c r="O102" s="39" t="s">
        <v>731</v>
      </c>
      <c r="P102" s="39" t="s">
        <v>731</v>
      </c>
      <c r="Q102" s="39" t="s">
        <v>731</v>
      </c>
      <c r="R102" s="39" t="s">
        <v>731</v>
      </c>
      <c r="S102" s="9"/>
      <c r="T102" s="1" t="s">
        <v>72</v>
      </c>
      <c r="U102" s="1" t="s">
        <v>358</v>
      </c>
      <c r="V102" s="9" t="str">
        <f>ROUND('[1]Puntos de control todos los dat'!N49,3)&amp;" - "&amp;ROUND('[1]Puntos de control todos los dat'!N49,3)</f>
        <v>174,3 - 174,3</v>
      </c>
      <c r="W102" s="39" t="s">
        <v>731</v>
      </c>
      <c r="X102" s="39" t="s">
        <v>731</v>
      </c>
      <c r="Y102" s="39" t="s">
        <v>731</v>
      </c>
      <c r="Z102" s="39" t="s">
        <v>731</v>
      </c>
      <c r="AA102" s="39" t="s">
        <v>731</v>
      </c>
      <c r="AB102" s="9"/>
      <c r="AC102" s="1" t="s">
        <v>63</v>
      </c>
      <c r="AD102" s="1" t="s">
        <v>63</v>
      </c>
      <c r="AE102" s="9" t="s">
        <v>63</v>
      </c>
      <c r="AF102" s="39" t="s">
        <v>731</v>
      </c>
      <c r="AG102" s="39" t="s">
        <v>731</v>
      </c>
      <c r="AH102" s="39" t="s">
        <v>731</v>
      </c>
      <c r="AI102" s="39" t="s">
        <v>731</v>
      </c>
      <c r="AJ102" s="39" t="s">
        <v>731</v>
      </c>
      <c r="AK102" s="9"/>
      <c r="AL102" s="1"/>
      <c r="AM102" s="1"/>
      <c r="AN102" s="3" t="s">
        <v>59</v>
      </c>
      <c r="AO102" s="1" t="s">
        <v>63</v>
      </c>
      <c r="AP102" s="1" t="s">
        <v>63</v>
      </c>
      <c r="AQ102" s="1"/>
      <c r="AR102" s="1" t="s">
        <v>63</v>
      </c>
      <c r="AS102" s="1" t="s">
        <v>63</v>
      </c>
      <c r="AT102" s="1"/>
      <c r="AU102" s="1" t="s">
        <v>63</v>
      </c>
      <c r="AV102" s="1" t="s">
        <v>63</v>
      </c>
      <c r="AW102" s="1"/>
      <c r="AX102" s="1"/>
      <c r="AY102" s="1"/>
    </row>
    <row r="103" spans="1:51" x14ac:dyDescent="0.25">
      <c r="A103" s="3" t="s">
        <v>64</v>
      </c>
      <c r="B103" s="1" t="s">
        <v>63</v>
      </c>
      <c r="C103" s="1" t="s">
        <v>63</v>
      </c>
      <c r="D103" s="9" t="s">
        <v>63</v>
      </c>
      <c r="E103" s="39" t="s">
        <v>731</v>
      </c>
      <c r="F103" s="40" t="s">
        <v>731</v>
      </c>
      <c r="G103" s="40" t="s">
        <v>731</v>
      </c>
      <c r="H103" s="40" t="s">
        <v>731</v>
      </c>
      <c r="I103" s="40" t="s">
        <v>731</v>
      </c>
      <c r="J103" s="1"/>
      <c r="K103" s="1" t="s">
        <v>63</v>
      </c>
      <c r="L103" s="1" t="s">
        <v>63</v>
      </c>
      <c r="M103" s="9" t="s">
        <v>63</v>
      </c>
      <c r="N103" s="39" t="s">
        <v>731</v>
      </c>
      <c r="O103" s="39" t="s">
        <v>731</v>
      </c>
      <c r="P103" s="39" t="s">
        <v>731</v>
      </c>
      <c r="Q103" s="39" t="s">
        <v>731</v>
      </c>
      <c r="R103" s="39" t="s">
        <v>731</v>
      </c>
      <c r="S103" s="9"/>
      <c r="T103" s="1" t="s">
        <v>63</v>
      </c>
      <c r="U103" s="1" t="s">
        <v>63</v>
      </c>
      <c r="V103" s="9" t="s">
        <v>63</v>
      </c>
      <c r="W103" s="39" t="s">
        <v>731</v>
      </c>
      <c r="X103" s="39" t="s">
        <v>731</v>
      </c>
      <c r="Y103" s="39" t="s">
        <v>731</v>
      </c>
      <c r="Z103" s="39" t="s">
        <v>731</v>
      </c>
      <c r="AA103" s="39" t="s">
        <v>731</v>
      </c>
      <c r="AB103" s="9"/>
      <c r="AC103" s="1" t="s">
        <v>63</v>
      </c>
      <c r="AD103" s="1" t="s">
        <v>63</v>
      </c>
      <c r="AE103" s="9" t="s">
        <v>63</v>
      </c>
      <c r="AF103" s="39" t="s">
        <v>731</v>
      </c>
      <c r="AG103" s="39" t="s">
        <v>731</v>
      </c>
      <c r="AH103" s="39" t="s">
        <v>731</v>
      </c>
      <c r="AI103" s="39" t="s">
        <v>731</v>
      </c>
      <c r="AJ103" s="39" t="s">
        <v>731</v>
      </c>
      <c r="AK103" s="9"/>
      <c r="AL103" s="1"/>
      <c r="AM103" s="1"/>
      <c r="AN103" s="3" t="s">
        <v>64</v>
      </c>
      <c r="AO103" s="1" t="s">
        <v>63</v>
      </c>
      <c r="AP103" s="1" t="s">
        <v>63</v>
      </c>
      <c r="AQ103" s="1"/>
      <c r="AR103" s="1" t="s">
        <v>63</v>
      </c>
      <c r="AS103" s="1" t="s">
        <v>63</v>
      </c>
      <c r="AT103" s="1"/>
      <c r="AU103" s="1" t="s">
        <v>63</v>
      </c>
      <c r="AV103" s="1" t="s">
        <v>63</v>
      </c>
      <c r="AW103" s="1"/>
      <c r="AX103" s="1"/>
      <c r="AY103" s="1"/>
    </row>
    <row r="104" spans="1:51" x14ac:dyDescent="0.25">
      <c r="A104" s="20" t="s">
        <v>359</v>
      </c>
      <c r="B104" s="1"/>
      <c r="C104" s="1"/>
      <c r="D104" s="9"/>
      <c r="E104" s="9"/>
      <c r="F104" s="1"/>
      <c r="G104" s="1"/>
      <c r="H104" s="1"/>
      <c r="I104" s="1"/>
      <c r="J104" s="1"/>
      <c r="K104" s="1"/>
      <c r="L104" s="1"/>
      <c r="M104" s="9"/>
      <c r="N104" s="9"/>
      <c r="O104" s="9"/>
      <c r="S104" s="9"/>
      <c r="T104" s="1"/>
      <c r="U104" s="1"/>
      <c r="V104" s="9"/>
      <c r="W104" s="9"/>
      <c r="X104" s="9"/>
      <c r="AB104" s="9"/>
      <c r="AC104" s="1"/>
      <c r="AD104" s="1"/>
      <c r="AE104" s="9"/>
      <c r="AF104" s="9"/>
      <c r="AG104" s="9"/>
      <c r="AK104" s="9"/>
      <c r="AL104" s="1"/>
      <c r="AM104" s="1"/>
      <c r="AN104" s="1" t="s">
        <v>359</v>
      </c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3" t="s">
        <v>14</v>
      </c>
      <c r="B105" s="1" t="s">
        <v>15</v>
      </c>
      <c r="C105" s="1" t="s">
        <v>360</v>
      </c>
      <c r="D105" s="9" t="str">
        <f>ROUND((MIN('[1]Puntos de control todos los dat'!O38,'[1]Puntos de control todos los dat'!O41,'[1]Puntos de control todos los dat'!O44)+MEDIAN('[1]Puntos de control todos los dat'!O38,'[1]Puntos de control todos los dat'!O41,'[1]Puntos de control todos los dat'!O44))/2,3)&amp;" - "&amp;ROUND((MEDIAN('[1]Puntos de control todos los dat'!O38,'[1]Puntos de control todos los dat'!O41,'[1]Puntos de control todos los dat'!O44)+MAX('[1]Puntos de control todos los dat'!O38,'[1]Puntos de control todos los dat'!O41,'[1]Puntos de control todos los dat'!O44))/2,3)</f>
        <v>212,77 - 262,935</v>
      </c>
      <c r="E105" s="39">
        <v>1</v>
      </c>
      <c r="F105" s="40">
        <v>0</v>
      </c>
      <c r="G105" s="40">
        <v>0</v>
      </c>
      <c r="H105" s="40">
        <v>0</v>
      </c>
      <c r="I105" s="40">
        <v>0</v>
      </c>
      <c r="J105" s="1"/>
      <c r="K105" s="1" t="s">
        <v>72</v>
      </c>
      <c r="L105" s="1" t="s">
        <v>361</v>
      </c>
      <c r="M105" s="9" t="str">
        <f>ROUND('[1]Puntos de control todos los dat'!O45,3)&amp;" - "&amp;ROUND('[1]Puntos de control todos los dat'!O45,3)</f>
        <v>171,24 - 171,24</v>
      </c>
      <c r="N105" s="39">
        <v>1</v>
      </c>
      <c r="O105" s="39">
        <v>0</v>
      </c>
      <c r="P105" s="39">
        <v>0</v>
      </c>
      <c r="Q105" s="39">
        <v>0</v>
      </c>
      <c r="R105" s="39">
        <v>0</v>
      </c>
      <c r="S105" s="9"/>
      <c r="T105" s="1" t="s">
        <v>63</v>
      </c>
      <c r="U105" s="1" t="s">
        <v>63</v>
      </c>
      <c r="V105" s="9" t="s">
        <v>63</v>
      </c>
      <c r="W105" s="39" t="s">
        <v>731</v>
      </c>
      <c r="X105" s="39" t="s">
        <v>731</v>
      </c>
      <c r="Y105" s="39" t="s">
        <v>731</v>
      </c>
      <c r="Z105" s="39" t="s">
        <v>731</v>
      </c>
      <c r="AA105" s="39" t="s">
        <v>731</v>
      </c>
      <c r="AB105" s="9"/>
      <c r="AC105" s="1" t="s">
        <v>72</v>
      </c>
      <c r="AD105" s="1" t="s">
        <v>362</v>
      </c>
      <c r="AE105" s="9" t="str">
        <f>ROUND('[1]Puntos de control todos los dat'!O60,3)&amp;" - "&amp;ROUND('[1]Puntos de control todos los dat'!O60,3)</f>
        <v>156,93 - 156,93</v>
      </c>
      <c r="AF105" s="39">
        <v>1</v>
      </c>
      <c r="AG105" s="39">
        <v>0</v>
      </c>
      <c r="AH105" s="39">
        <v>0</v>
      </c>
      <c r="AI105" s="39">
        <v>0</v>
      </c>
      <c r="AJ105" s="39">
        <v>0</v>
      </c>
      <c r="AK105" s="9"/>
      <c r="AL105" s="1"/>
      <c r="AM105" s="1"/>
      <c r="AN105" s="13" t="s">
        <v>14</v>
      </c>
      <c r="AO105" s="27" t="s">
        <v>123</v>
      </c>
      <c r="AP105" s="27" t="s">
        <v>40</v>
      </c>
      <c r="AQ105" s="1"/>
      <c r="AR105" s="1" t="s">
        <v>327</v>
      </c>
      <c r="AS105" s="1" t="s">
        <v>23</v>
      </c>
      <c r="AT105" s="1"/>
      <c r="AU105" s="1" t="s">
        <v>63</v>
      </c>
      <c r="AV105" s="1" t="s">
        <v>63</v>
      </c>
      <c r="AW105" s="1"/>
      <c r="AX105" s="1"/>
      <c r="AY105" s="1"/>
    </row>
    <row r="106" spans="1:51" x14ac:dyDescent="0.25">
      <c r="A106" s="3" t="s">
        <v>25</v>
      </c>
      <c r="B106" s="1" t="s">
        <v>17</v>
      </c>
      <c r="C106" s="1" t="s">
        <v>363</v>
      </c>
      <c r="D106" s="9" t="str">
        <f>ROUND((3*MIN('[1]Puntos de control todos los dat'!O71,'[1]Puntos de control todos los dat'!O77)+MAX('[1]Puntos de control todos los dat'!O71,'[1]Puntos de control todos los dat'!O77))/4,3)&amp;" - "&amp;ROUND((MIN('[1]Puntos de control todos los dat'!O71,'[1]Puntos de control todos los dat'!O77)+3*MAX('[1]Puntos de control todos los dat'!O71,'[1]Puntos de control todos los dat'!O77))/4,3)</f>
        <v>159,59 - 166,09</v>
      </c>
      <c r="E106" s="39">
        <v>0.67125602869038292</v>
      </c>
      <c r="F106" s="40">
        <v>-0.57506495458609264</v>
      </c>
      <c r="G106" s="40">
        <v>-32.874397130961711</v>
      </c>
      <c r="H106" s="40">
        <v>-79.75</v>
      </c>
      <c r="I106" s="40">
        <v>-0.19670473324618307</v>
      </c>
      <c r="J106" s="1"/>
      <c r="K106" s="1" t="s">
        <v>72</v>
      </c>
      <c r="L106" s="1" t="s">
        <v>364</v>
      </c>
      <c r="M106" s="9" t="str">
        <f>ROUND('[1]Puntos de control todos los dat'!O75,3)&amp;" - "&amp;ROUND('[1]Puntos de control todos los dat'!O75,3)</f>
        <v>262,72 - 262,72</v>
      </c>
      <c r="N106" s="39" t="s">
        <v>731</v>
      </c>
      <c r="O106" s="39" t="s">
        <v>731</v>
      </c>
      <c r="P106" s="39" t="s">
        <v>731</v>
      </c>
      <c r="Q106" s="39" t="s">
        <v>731</v>
      </c>
      <c r="R106" s="39" t="s">
        <v>731</v>
      </c>
      <c r="S106" s="9"/>
      <c r="T106" s="1" t="s">
        <v>72</v>
      </c>
      <c r="U106" s="1" t="s">
        <v>365</v>
      </c>
      <c r="V106" s="9" t="str">
        <f>ROUND('[1]Puntos de control todos los dat'!O76,3)&amp;" - "&amp;ROUND('[1]Puntos de control todos los dat'!O76,3)</f>
        <v>161,13 - 161,13</v>
      </c>
      <c r="W106" s="39" t="s">
        <v>731</v>
      </c>
      <c r="X106" s="39" t="s">
        <v>731</v>
      </c>
      <c r="Y106" s="39" t="s">
        <v>731</v>
      </c>
      <c r="Z106" s="39" t="s">
        <v>731</v>
      </c>
      <c r="AA106" s="39" t="s">
        <v>731</v>
      </c>
      <c r="AB106" s="9"/>
      <c r="AC106" s="1" t="s">
        <v>63</v>
      </c>
      <c r="AD106" s="1" t="s">
        <v>63</v>
      </c>
      <c r="AE106" s="9" t="s">
        <v>63</v>
      </c>
      <c r="AF106" s="39" t="s">
        <v>731</v>
      </c>
      <c r="AG106" s="39" t="s">
        <v>731</v>
      </c>
      <c r="AH106" s="39" t="s">
        <v>731</v>
      </c>
      <c r="AI106" s="39" t="s">
        <v>731</v>
      </c>
      <c r="AJ106" s="39" t="s">
        <v>731</v>
      </c>
      <c r="AK106" s="9"/>
      <c r="AL106" s="1"/>
      <c r="AM106" s="1"/>
      <c r="AN106" s="3" t="s">
        <v>25</v>
      </c>
      <c r="AO106" s="1" t="s">
        <v>63</v>
      </c>
      <c r="AP106" s="1" t="s">
        <v>63</v>
      </c>
      <c r="AQ106" s="1"/>
      <c r="AR106" s="1" t="s">
        <v>63</v>
      </c>
      <c r="AS106" s="1" t="s">
        <v>63</v>
      </c>
      <c r="AT106" s="1"/>
      <c r="AU106" s="1" t="s">
        <v>63</v>
      </c>
      <c r="AV106" s="1" t="s">
        <v>63</v>
      </c>
      <c r="AW106" s="1"/>
      <c r="AX106" s="1"/>
      <c r="AY106" s="1"/>
    </row>
    <row r="107" spans="1:51" x14ac:dyDescent="0.25">
      <c r="A107" s="3" t="s">
        <v>35</v>
      </c>
      <c r="B107" s="1" t="s">
        <v>72</v>
      </c>
      <c r="C107" s="1" t="s">
        <v>366</v>
      </c>
      <c r="D107" s="9" t="str">
        <f>ROUND('[1]Puntos de control todos los dat'!O8,3)&amp;" - "&amp;ROUND('[1]Puntos de control todos los dat'!O8,3)</f>
        <v>140,03 - 140,03</v>
      </c>
      <c r="E107" s="39" t="s">
        <v>731</v>
      </c>
      <c r="F107" s="40" t="s">
        <v>731</v>
      </c>
      <c r="G107" s="40" t="s">
        <v>731</v>
      </c>
      <c r="H107" s="40" t="s">
        <v>731</v>
      </c>
      <c r="I107" s="40" t="s">
        <v>731</v>
      </c>
      <c r="J107" s="1"/>
      <c r="K107" s="1" t="s">
        <v>63</v>
      </c>
      <c r="L107" s="1" t="s">
        <v>63</v>
      </c>
      <c r="M107" s="9" t="s">
        <v>63</v>
      </c>
      <c r="N107" s="39" t="s">
        <v>731</v>
      </c>
      <c r="O107" s="39" t="s">
        <v>731</v>
      </c>
      <c r="P107" s="39" t="s">
        <v>731</v>
      </c>
      <c r="Q107" s="39" t="s">
        <v>731</v>
      </c>
      <c r="R107" s="39" t="s">
        <v>731</v>
      </c>
      <c r="S107" s="9"/>
      <c r="T107" s="1" t="s">
        <v>63</v>
      </c>
      <c r="U107" s="1" t="s">
        <v>63</v>
      </c>
      <c r="V107" s="9" t="s">
        <v>63</v>
      </c>
      <c r="W107" s="39" t="s">
        <v>731</v>
      </c>
      <c r="X107" s="39" t="s">
        <v>731</v>
      </c>
      <c r="Y107" s="39" t="s">
        <v>731</v>
      </c>
      <c r="Z107" s="39" t="s">
        <v>731</v>
      </c>
      <c r="AA107" s="39" t="s">
        <v>731</v>
      </c>
      <c r="AB107" s="9"/>
      <c r="AC107" s="1" t="s">
        <v>17</v>
      </c>
      <c r="AD107" s="1" t="s">
        <v>367</v>
      </c>
      <c r="AE107" s="9" t="str">
        <f>ROUND((3*MIN('[1]Puntos de control todos los dat'!O63,'[1]Puntos de control todos los dat'!O64)+MAX('[1]Puntos de control todos los dat'!O63,'[1]Puntos de control todos los dat'!O64))/4,3)&amp;" - "&amp;ROUND((MIN('[1]Puntos de control todos los dat'!O63,'[1]Puntos de control todos los dat'!O64)+3*MAX('[1]Puntos de control todos los dat'!O63,'[1]Puntos de control todos los dat'!O64))/4,3)</f>
        <v>177,315 - 182,905</v>
      </c>
      <c r="AF107" s="39" t="s">
        <v>731</v>
      </c>
      <c r="AG107" s="39" t="s">
        <v>731</v>
      </c>
      <c r="AH107" s="39" t="s">
        <v>731</v>
      </c>
      <c r="AI107" s="39" t="s">
        <v>731</v>
      </c>
      <c r="AJ107" s="39" t="s">
        <v>731</v>
      </c>
      <c r="AK107" s="9"/>
      <c r="AL107" s="1"/>
      <c r="AM107" s="1"/>
      <c r="AN107" s="10" t="s">
        <v>35</v>
      </c>
      <c r="AO107" s="22" t="s">
        <v>22</v>
      </c>
      <c r="AP107" s="22" t="s">
        <v>23</v>
      </c>
      <c r="AQ107" s="1"/>
      <c r="AR107" s="1" t="s">
        <v>63</v>
      </c>
      <c r="AS107" s="1" t="s">
        <v>63</v>
      </c>
      <c r="AT107" s="1"/>
      <c r="AU107" s="1" t="s">
        <v>63</v>
      </c>
      <c r="AV107" s="1" t="s">
        <v>63</v>
      </c>
      <c r="AW107" s="1"/>
      <c r="AX107" s="1"/>
      <c r="AY107" s="1"/>
    </row>
    <row r="108" spans="1:51" x14ac:dyDescent="0.25">
      <c r="A108" s="3" t="s">
        <v>42</v>
      </c>
      <c r="B108" s="1" t="s">
        <v>72</v>
      </c>
      <c r="C108" s="1" t="s">
        <v>368</v>
      </c>
      <c r="D108" s="9" t="str">
        <f>ROUND('[1]Puntos de control todos los dat'!O14,3)&amp;" - "&amp;ROUND('[1]Puntos de control todos los dat'!O14,3)</f>
        <v>147,06 - 147,06</v>
      </c>
      <c r="E108" s="39" t="s">
        <v>731</v>
      </c>
      <c r="F108" s="40" t="s">
        <v>731</v>
      </c>
      <c r="G108" s="40" t="s">
        <v>731</v>
      </c>
      <c r="H108" s="40" t="s">
        <v>731</v>
      </c>
      <c r="I108" s="40" t="s">
        <v>731</v>
      </c>
      <c r="J108" s="1"/>
      <c r="K108" s="1" t="s">
        <v>63</v>
      </c>
      <c r="L108" s="1" t="s">
        <v>63</v>
      </c>
      <c r="M108" s="9" t="s">
        <v>63</v>
      </c>
      <c r="N108" s="39" t="s">
        <v>731</v>
      </c>
      <c r="O108" s="39" t="s">
        <v>731</v>
      </c>
      <c r="P108" s="39" t="s">
        <v>731</v>
      </c>
      <c r="Q108" s="39" t="s">
        <v>731</v>
      </c>
      <c r="R108" s="39" t="s">
        <v>731</v>
      </c>
      <c r="S108" s="9"/>
      <c r="T108" s="1" t="s">
        <v>63</v>
      </c>
      <c r="U108" s="1" t="s">
        <v>63</v>
      </c>
      <c r="V108" s="9" t="s">
        <v>63</v>
      </c>
      <c r="W108" s="39" t="s">
        <v>731</v>
      </c>
      <c r="X108" s="39" t="s">
        <v>731</v>
      </c>
      <c r="Y108" s="39" t="s">
        <v>731</v>
      </c>
      <c r="Z108" s="39" t="s">
        <v>731</v>
      </c>
      <c r="AA108" s="39" t="s">
        <v>731</v>
      </c>
      <c r="AB108" s="9"/>
      <c r="AC108" s="1" t="s">
        <v>17</v>
      </c>
      <c r="AD108" s="1" t="s">
        <v>369</v>
      </c>
      <c r="AE108" s="9" t="str">
        <f>ROUND((3*MIN('[1]Puntos de control todos los dat'!O65,'[1]Puntos de control todos los dat'!O66)+MAX('[1]Puntos de control todos los dat'!O65,'[1]Puntos de control todos los dat'!O66))/4,3)&amp;" - "&amp;ROUND((MIN('[1]Puntos de control todos los dat'!O65,'[1]Puntos de control todos los dat'!O66)+3*MAX('[1]Puntos de control todos los dat'!O65,'[1]Puntos de control todos los dat'!O66))/4,3)</f>
        <v>139,678 - 198,533</v>
      </c>
      <c r="AF108" s="39" t="s">
        <v>731</v>
      </c>
      <c r="AG108" s="39" t="s">
        <v>731</v>
      </c>
      <c r="AH108" s="39" t="s">
        <v>731</v>
      </c>
      <c r="AI108" s="39" t="s">
        <v>731</v>
      </c>
      <c r="AJ108" s="39" t="s">
        <v>731</v>
      </c>
      <c r="AK108" s="9"/>
      <c r="AL108" s="1"/>
      <c r="AM108" s="1"/>
      <c r="AN108" s="3" t="s">
        <v>42</v>
      </c>
      <c r="AO108" s="1" t="s">
        <v>96</v>
      </c>
      <c r="AP108" s="1" t="s">
        <v>13</v>
      </c>
      <c r="AQ108" s="1"/>
      <c r="AR108" s="1" t="s">
        <v>63</v>
      </c>
      <c r="AS108" s="1" t="s">
        <v>63</v>
      </c>
      <c r="AT108" s="1"/>
      <c r="AU108" s="1" t="s">
        <v>63</v>
      </c>
      <c r="AV108" s="1" t="s">
        <v>63</v>
      </c>
      <c r="AW108" s="1"/>
      <c r="AX108" s="1"/>
      <c r="AY108" s="1"/>
    </row>
    <row r="109" spans="1:51" x14ac:dyDescent="0.25">
      <c r="A109" s="3" t="s">
        <v>48</v>
      </c>
      <c r="B109" s="1" t="s">
        <v>63</v>
      </c>
      <c r="C109" s="1" t="s">
        <v>63</v>
      </c>
      <c r="D109" s="9" t="s">
        <v>63</v>
      </c>
      <c r="E109" s="39" t="s">
        <v>731</v>
      </c>
      <c r="F109" s="40" t="s">
        <v>731</v>
      </c>
      <c r="G109" s="40" t="s">
        <v>731</v>
      </c>
      <c r="H109" s="40" t="s">
        <v>731</v>
      </c>
      <c r="I109" s="40" t="s">
        <v>731</v>
      </c>
      <c r="J109" s="1"/>
      <c r="K109" s="1" t="s">
        <v>72</v>
      </c>
      <c r="L109" s="1" t="s">
        <v>370</v>
      </c>
      <c r="M109" s="9" t="str">
        <f>ROUND('[1]Puntos de control todos los dat'!O24,3)&amp;" - "&amp;ROUND('[1]Puntos de control todos los dat'!O24,3)</f>
        <v>150,3 - 150,3</v>
      </c>
      <c r="N109" s="39" t="s">
        <v>731</v>
      </c>
      <c r="O109" s="39" t="s">
        <v>731</v>
      </c>
      <c r="P109" s="39" t="s">
        <v>731</v>
      </c>
      <c r="Q109" s="39" t="s">
        <v>731</v>
      </c>
      <c r="R109" s="39" t="s">
        <v>731</v>
      </c>
      <c r="S109" s="9"/>
      <c r="T109" s="1" t="s">
        <v>63</v>
      </c>
      <c r="U109" s="1" t="s">
        <v>63</v>
      </c>
      <c r="V109" s="9" t="s">
        <v>63</v>
      </c>
      <c r="W109" s="39" t="s">
        <v>731</v>
      </c>
      <c r="X109" s="39" t="s">
        <v>731</v>
      </c>
      <c r="Y109" s="39" t="s">
        <v>731</v>
      </c>
      <c r="Z109" s="39" t="s">
        <v>731</v>
      </c>
      <c r="AA109" s="39" t="s">
        <v>731</v>
      </c>
      <c r="AB109" s="9"/>
      <c r="AC109" s="1" t="s">
        <v>17</v>
      </c>
      <c r="AD109" s="1" t="s">
        <v>371</v>
      </c>
      <c r="AE109" s="9" t="str">
        <f>ROUND((3*MIN('[1]Puntos de control todos los dat'!O67,'[1]Puntos de control todos los dat'!O68)+MAX('[1]Puntos de control todos los dat'!O67,'[1]Puntos de control todos los dat'!O68))/4,3)&amp;" - "&amp;ROUND((MIN('[1]Puntos de control todos los dat'!O67,'[1]Puntos de control todos los dat'!O68)+3*MAX('[1]Puntos de control todos los dat'!O67,'[1]Puntos de control todos los dat'!O68))/4,3)</f>
        <v>152,795 - 204,065</v>
      </c>
      <c r="AF109" s="39" t="s">
        <v>731</v>
      </c>
      <c r="AG109" s="39" t="s">
        <v>731</v>
      </c>
      <c r="AH109" s="39" t="s">
        <v>731</v>
      </c>
      <c r="AI109" s="39" t="s">
        <v>731</v>
      </c>
      <c r="AJ109" s="39" t="s">
        <v>731</v>
      </c>
      <c r="AK109" s="9"/>
      <c r="AL109" s="1"/>
      <c r="AM109" s="1"/>
      <c r="AN109" s="3" t="s">
        <v>48</v>
      </c>
      <c r="AO109" s="1" t="s">
        <v>63</v>
      </c>
      <c r="AP109" s="1" t="s">
        <v>63</v>
      </c>
      <c r="AQ109" s="1"/>
      <c r="AR109" s="1" t="s">
        <v>96</v>
      </c>
      <c r="AS109" s="1" t="s">
        <v>13</v>
      </c>
      <c r="AT109" s="1"/>
      <c r="AU109" s="1" t="s">
        <v>63</v>
      </c>
      <c r="AV109" s="1" t="s">
        <v>63</v>
      </c>
      <c r="AW109" s="1"/>
      <c r="AX109" s="1"/>
      <c r="AY109" s="1"/>
    </row>
    <row r="110" spans="1:51" x14ac:dyDescent="0.25">
      <c r="A110" s="3" t="s">
        <v>54</v>
      </c>
      <c r="B110" s="1" t="s">
        <v>17</v>
      </c>
      <c r="C110" s="1" t="s">
        <v>372</v>
      </c>
      <c r="D110" s="9" t="str">
        <f>ROUND((3*MIN('[1]Puntos de control todos los dat'!O29,'[1]Puntos de control todos los dat'!O35)+MAX('[1]Puntos de control todos los dat'!O29,'[1]Puntos de control todos los dat'!O35))/4,3)&amp;" - "&amp;ROUND((MIN('[1]Puntos de control todos los dat'!O29,'[1]Puntos de control todos los dat'!O35)+3*MAX('[1]Puntos de control todos los dat'!O29,'[1]Puntos de control todos los dat'!O35))/4,3)</f>
        <v>149,923 - 172,888</v>
      </c>
      <c r="E110" s="39">
        <v>0.66534069829753906</v>
      </c>
      <c r="F110" s="40">
        <v>-0.58783481009829686</v>
      </c>
      <c r="G110" s="40">
        <v>-33.465930170246097</v>
      </c>
      <c r="H110" s="40">
        <v>-81.185000000000002</v>
      </c>
      <c r="I110" s="40">
        <v>-0.20095545736952192</v>
      </c>
      <c r="J110" s="1"/>
      <c r="K110" s="1" t="s">
        <v>72</v>
      </c>
      <c r="L110" s="1" t="s">
        <v>373</v>
      </c>
      <c r="M110" s="9" t="str">
        <f>ROUND('[1]Puntos de control todos los dat'!O36,3)&amp;" - "&amp;ROUND('[1]Puntos de control todos los dat'!O36,3)</f>
        <v>100,32 - 100,32</v>
      </c>
      <c r="N110" s="39" t="s">
        <v>731</v>
      </c>
      <c r="O110" s="39" t="s">
        <v>731</v>
      </c>
      <c r="P110" s="39" t="s">
        <v>731</v>
      </c>
      <c r="Q110" s="39" t="s">
        <v>731</v>
      </c>
      <c r="R110" s="39" t="s">
        <v>731</v>
      </c>
      <c r="S110" s="9"/>
      <c r="T110" s="1" t="s">
        <v>63</v>
      </c>
      <c r="U110" s="1" t="s">
        <v>63</v>
      </c>
      <c r="V110" s="9" t="s">
        <v>63</v>
      </c>
      <c r="W110" s="39" t="s">
        <v>731</v>
      </c>
      <c r="X110" s="39" t="s">
        <v>731</v>
      </c>
      <c r="Y110" s="39" t="s">
        <v>731</v>
      </c>
      <c r="Z110" s="39" t="s">
        <v>731</v>
      </c>
      <c r="AA110" s="39" t="s">
        <v>731</v>
      </c>
      <c r="AB110" s="9"/>
      <c r="AC110" s="1" t="s">
        <v>63</v>
      </c>
      <c r="AD110" s="1" t="s">
        <v>63</v>
      </c>
      <c r="AE110" s="9" t="s">
        <v>63</v>
      </c>
      <c r="AF110" s="39" t="s">
        <v>731</v>
      </c>
      <c r="AG110" s="39" t="s">
        <v>731</v>
      </c>
      <c r="AH110" s="39" t="s">
        <v>731</v>
      </c>
      <c r="AI110" s="39" t="s">
        <v>731</v>
      </c>
      <c r="AJ110" s="39" t="s">
        <v>731</v>
      </c>
      <c r="AK110" s="9"/>
      <c r="AL110" s="1"/>
      <c r="AM110" s="1"/>
      <c r="AN110" s="3" t="s">
        <v>54</v>
      </c>
      <c r="AO110" s="1" t="s">
        <v>63</v>
      </c>
      <c r="AP110" s="1" t="s">
        <v>63</v>
      </c>
      <c r="AQ110" s="1"/>
      <c r="AR110" s="1" t="s">
        <v>63</v>
      </c>
      <c r="AS110" s="1" t="s">
        <v>63</v>
      </c>
      <c r="AT110" s="1"/>
      <c r="AU110" s="1" t="s">
        <v>63</v>
      </c>
      <c r="AV110" s="1" t="s">
        <v>63</v>
      </c>
      <c r="AW110" s="1"/>
      <c r="AX110" s="1"/>
      <c r="AY110" s="1"/>
    </row>
    <row r="111" spans="1:51" x14ac:dyDescent="0.25">
      <c r="A111" s="3" t="s">
        <v>59</v>
      </c>
      <c r="B111" s="1" t="s">
        <v>72</v>
      </c>
      <c r="C111" s="1" t="s">
        <v>374</v>
      </c>
      <c r="D111" s="9" t="str">
        <f>ROUND('[1]Puntos de control todos los dat'!O47,3)&amp;" - "&amp;ROUND('[1]Puntos de control todos los dat'!O47,3)</f>
        <v>232,44 - 232,44</v>
      </c>
      <c r="E111" s="39" t="s">
        <v>731</v>
      </c>
      <c r="F111" s="40" t="s">
        <v>731</v>
      </c>
      <c r="G111" s="40" t="s">
        <v>731</v>
      </c>
      <c r="H111" s="40" t="s">
        <v>731</v>
      </c>
      <c r="I111" s="40" t="s">
        <v>731</v>
      </c>
      <c r="J111" s="1"/>
      <c r="K111" s="1" t="s">
        <v>72</v>
      </c>
      <c r="L111" s="1" t="s">
        <v>375</v>
      </c>
      <c r="M111" s="9" t="str">
        <f>ROUND('[1]Puntos de control todos los dat'!O51,3)&amp;" - "&amp;ROUND('[1]Puntos de control todos los dat'!O51,3)</f>
        <v>188,2 - 188,2</v>
      </c>
      <c r="N111" s="39" t="s">
        <v>731</v>
      </c>
      <c r="O111" s="39" t="s">
        <v>731</v>
      </c>
      <c r="P111" s="39" t="s">
        <v>731</v>
      </c>
      <c r="Q111" s="39" t="s">
        <v>731</v>
      </c>
      <c r="R111" s="39" t="s">
        <v>731</v>
      </c>
      <c r="S111" s="9"/>
      <c r="T111" s="1" t="s">
        <v>72</v>
      </c>
      <c r="U111" s="1" t="s">
        <v>376</v>
      </c>
      <c r="V111" s="9" t="str">
        <f>ROUND('[1]Puntos de control todos los dat'!O49,3)&amp;" - "&amp;ROUND('[1]Puntos de control todos los dat'!O49,3)</f>
        <v>137,52 - 137,52</v>
      </c>
      <c r="W111" s="39" t="s">
        <v>731</v>
      </c>
      <c r="X111" s="39" t="s">
        <v>731</v>
      </c>
      <c r="Y111" s="39" t="s">
        <v>731</v>
      </c>
      <c r="Z111" s="39" t="s">
        <v>731</v>
      </c>
      <c r="AA111" s="39" t="s">
        <v>731</v>
      </c>
      <c r="AB111" s="9"/>
      <c r="AC111" s="1" t="s">
        <v>63</v>
      </c>
      <c r="AD111" s="1" t="s">
        <v>63</v>
      </c>
      <c r="AE111" s="9" t="s">
        <v>63</v>
      </c>
      <c r="AF111" s="39" t="s">
        <v>731</v>
      </c>
      <c r="AG111" s="39" t="s">
        <v>731</v>
      </c>
      <c r="AH111" s="39" t="s">
        <v>731</v>
      </c>
      <c r="AI111" s="39" t="s">
        <v>731</v>
      </c>
      <c r="AJ111" s="39" t="s">
        <v>731</v>
      </c>
      <c r="AK111" s="9"/>
      <c r="AL111" s="1"/>
      <c r="AM111" s="1"/>
      <c r="AN111" s="3" t="s">
        <v>59</v>
      </c>
      <c r="AO111" s="1" t="s">
        <v>63</v>
      </c>
      <c r="AP111" s="1" t="s">
        <v>63</v>
      </c>
      <c r="AQ111" s="1"/>
      <c r="AR111" s="1" t="s">
        <v>63</v>
      </c>
      <c r="AS111" s="1" t="s">
        <v>63</v>
      </c>
      <c r="AT111" s="1"/>
      <c r="AU111" s="1" t="s">
        <v>63</v>
      </c>
      <c r="AV111" s="1" t="s">
        <v>63</v>
      </c>
      <c r="AW111" s="1"/>
      <c r="AX111" s="1"/>
      <c r="AY111" s="1"/>
    </row>
    <row r="112" spans="1:51" x14ac:dyDescent="0.25">
      <c r="A112" s="3" t="s">
        <v>64</v>
      </c>
      <c r="B112" s="1" t="s">
        <v>17</v>
      </c>
      <c r="C112" s="1" t="s">
        <v>377</v>
      </c>
      <c r="D112" s="9" t="str">
        <f>ROUND((3*MIN('[1]Puntos de control todos los dat'!O53,'[1]Puntos de control todos los dat'!O56)+MAX('[1]Puntos de control todos los dat'!O53,'[1]Puntos de control todos los dat'!O56))/4,3)&amp;" - "&amp;ROUND((MIN('[1]Puntos de control todos los dat'!O53,'[1]Puntos de control todos los dat'!O56)+3*MAX('[1]Puntos de control todos los dat'!O53,'[1]Puntos de control todos los dat'!O56))/4,3)</f>
        <v>156,338 - 206,393</v>
      </c>
      <c r="E112" s="39">
        <v>0.74761944020775795</v>
      </c>
      <c r="F112" s="40">
        <v>-0.41962401118861203</v>
      </c>
      <c r="G112" s="40">
        <v>-25.238055979224207</v>
      </c>
      <c r="H112" s="40">
        <v>-61.224999999999994</v>
      </c>
      <c r="I112" s="40">
        <v>-0.14441391185385238</v>
      </c>
      <c r="J112" s="1"/>
      <c r="K112" s="1" t="s">
        <v>72</v>
      </c>
      <c r="L112" s="1" t="s">
        <v>378</v>
      </c>
      <c r="M112" s="9" t="str">
        <f>ROUND('[1]Puntos de control todos los dat'!O57,3)&amp;" - "&amp;ROUND('[1]Puntos de control todos los dat'!O57,3)</f>
        <v>128,65 - 128,65</v>
      </c>
      <c r="N112" s="39" t="s">
        <v>731</v>
      </c>
      <c r="O112" s="39" t="s">
        <v>731</v>
      </c>
      <c r="P112" s="39" t="s">
        <v>731</v>
      </c>
      <c r="Q112" s="39" t="s">
        <v>731</v>
      </c>
      <c r="R112" s="39" t="s">
        <v>731</v>
      </c>
      <c r="S112" s="9"/>
      <c r="T112" s="1" t="s">
        <v>17</v>
      </c>
      <c r="U112" s="1" t="s">
        <v>379</v>
      </c>
      <c r="V112" s="9" t="str">
        <f>ROUND((3*MIN('[1]Puntos de control todos los dat'!O55,'[1]Puntos de control todos los dat'!O58)+MAX('[1]Puntos de control todos los dat'!O55,'[1]Puntos de control todos los dat'!O58))/4,3)&amp;" - "&amp;ROUND((MIN('[1]Puntos de control todos los dat'!O55,'[1]Puntos de control todos los dat'!O58)+3*MAX('[1]Puntos de control todos los dat'!O55,'[1]Puntos de control todos los dat'!O58))/4,3)</f>
        <v>113,51 - 163,59</v>
      </c>
      <c r="W112" s="39" t="s">
        <v>731</v>
      </c>
      <c r="X112" s="39" t="s">
        <v>731</v>
      </c>
      <c r="Y112" s="39" t="s">
        <v>731</v>
      </c>
      <c r="Z112" s="39" t="s">
        <v>731</v>
      </c>
      <c r="AA112" s="39" t="s">
        <v>731</v>
      </c>
      <c r="AB112" s="9"/>
      <c r="AC112" s="1" t="s">
        <v>63</v>
      </c>
      <c r="AD112" s="1" t="s">
        <v>63</v>
      </c>
      <c r="AE112" s="9" t="s">
        <v>63</v>
      </c>
      <c r="AF112" s="39" t="s">
        <v>731</v>
      </c>
      <c r="AG112" s="39" t="s">
        <v>731</v>
      </c>
      <c r="AH112" s="39" t="s">
        <v>731</v>
      </c>
      <c r="AI112" s="39" t="s">
        <v>731</v>
      </c>
      <c r="AJ112" s="39" t="s">
        <v>731</v>
      </c>
      <c r="AK112" s="9"/>
      <c r="AL112" s="1"/>
      <c r="AM112" s="1"/>
      <c r="AN112" s="3" t="s">
        <v>64</v>
      </c>
      <c r="AO112" s="1" t="s">
        <v>63</v>
      </c>
      <c r="AP112" s="1" t="s">
        <v>63</v>
      </c>
      <c r="AQ112" s="1"/>
      <c r="AR112" s="1" t="s">
        <v>63</v>
      </c>
      <c r="AS112" s="1" t="s">
        <v>63</v>
      </c>
      <c r="AT112" s="1"/>
      <c r="AU112" s="1" t="s">
        <v>63</v>
      </c>
      <c r="AV112" s="1" t="s">
        <v>63</v>
      </c>
      <c r="AW112" s="1"/>
      <c r="AX112" s="1"/>
      <c r="AY112" s="1"/>
    </row>
    <row r="113" spans="1:51" x14ac:dyDescent="0.25">
      <c r="A113" s="1"/>
      <c r="B113" s="1"/>
      <c r="C113" s="1"/>
      <c r="D113" s="9"/>
      <c r="E113" s="9"/>
      <c r="F113" s="1"/>
      <c r="G113" s="1"/>
      <c r="H113" s="1"/>
      <c r="I113" s="1"/>
      <c r="J113" s="1"/>
      <c r="K113" s="1"/>
      <c r="L113" s="1"/>
      <c r="M113" s="9"/>
      <c r="N113" s="9"/>
      <c r="O113" s="9"/>
      <c r="S113" s="9"/>
      <c r="T113" s="1"/>
      <c r="U113" s="1"/>
      <c r="V113" s="9"/>
      <c r="W113" s="9"/>
      <c r="X113" s="9"/>
      <c r="AB113" s="9"/>
      <c r="AC113" s="1"/>
      <c r="AD113" s="1"/>
      <c r="AE113" s="9"/>
      <c r="AF113" s="9"/>
      <c r="AG113" s="9"/>
      <c r="AK113" s="9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9"/>
      <c r="E114" s="9"/>
      <c r="F114" s="1"/>
      <c r="G114" s="1"/>
      <c r="H114" s="1"/>
      <c r="I114" s="1"/>
      <c r="J114" s="1"/>
      <c r="K114" s="1"/>
      <c r="L114" s="1"/>
      <c r="M114" s="9"/>
      <c r="N114" s="9"/>
      <c r="O114" s="9"/>
      <c r="S114" s="9"/>
      <c r="T114" s="1"/>
      <c r="U114" s="1"/>
      <c r="V114" s="9"/>
      <c r="W114" s="9"/>
      <c r="X114" s="9"/>
      <c r="AB114" s="9"/>
      <c r="AC114" s="1"/>
      <c r="AD114" s="1"/>
      <c r="AE114" s="9"/>
      <c r="AF114" s="9"/>
      <c r="AG114" s="9"/>
      <c r="AK114" s="9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9"/>
      <c r="E115" s="9"/>
      <c r="F115" s="1"/>
      <c r="G115" s="1"/>
      <c r="H115" s="1"/>
      <c r="I115" s="1"/>
      <c r="J115" s="1"/>
      <c r="K115" s="1"/>
      <c r="L115" s="1"/>
      <c r="M115" s="9"/>
      <c r="N115" s="9"/>
      <c r="O115" s="9"/>
      <c r="S115" s="9"/>
      <c r="T115" s="1"/>
      <c r="U115" s="1"/>
      <c r="V115" s="9"/>
      <c r="W115" s="9"/>
      <c r="X115" s="9"/>
      <c r="AB115" s="9"/>
      <c r="AC115" s="1"/>
      <c r="AD115" s="1"/>
      <c r="AE115" s="9"/>
      <c r="AF115" s="9"/>
      <c r="AG115" s="9"/>
      <c r="AK115" s="9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9"/>
      <c r="E116" s="9"/>
      <c r="F116" s="1"/>
      <c r="G116" s="1"/>
      <c r="H116" s="1"/>
      <c r="I116" s="1"/>
      <c r="J116" s="1"/>
      <c r="K116" s="1"/>
      <c r="L116" s="1"/>
      <c r="M116" s="9"/>
      <c r="N116" s="9"/>
      <c r="O116" s="9"/>
      <c r="S116" s="9"/>
      <c r="T116" s="1"/>
      <c r="U116" s="1"/>
      <c r="V116" s="9"/>
      <c r="W116" s="9"/>
      <c r="X116" s="9"/>
      <c r="AB116" s="9"/>
      <c r="AC116" s="1"/>
      <c r="AD116" s="1"/>
      <c r="AE116" s="9"/>
      <c r="AF116" s="9"/>
      <c r="AG116" s="9"/>
      <c r="AK116" s="9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9"/>
      <c r="E117" s="9"/>
      <c r="F117" s="1"/>
      <c r="G117" s="1"/>
      <c r="H117" s="1"/>
      <c r="I117" s="1"/>
      <c r="J117" s="1"/>
      <c r="K117" s="1"/>
      <c r="L117" s="1"/>
      <c r="M117" s="9"/>
      <c r="N117" s="9"/>
      <c r="O117" s="9"/>
      <c r="S117" s="9"/>
      <c r="T117" s="1"/>
      <c r="U117" s="1"/>
      <c r="V117" s="9"/>
      <c r="W117" s="9"/>
      <c r="X117" s="9"/>
      <c r="AB117" s="9"/>
      <c r="AC117" s="1"/>
      <c r="AD117" s="1"/>
      <c r="AE117" s="9"/>
      <c r="AF117" s="9"/>
      <c r="AG117" s="9"/>
      <c r="AK117" s="9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9"/>
      <c r="E118" s="9"/>
      <c r="F118" s="1"/>
      <c r="G118" s="1"/>
      <c r="H118" s="1"/>
      <c r="I118" s="1"/>
      <c r="J118" s="1"/>
      <c r="K118" s="1"/>
      <c r="L118" s="1"/>
      <c r="M118" s="9"/>
      <c r="N118" s="9"/>
      <c r="O118" s="9"/>
      <c r="S118" s="9"/>
      <c r="T118" s="1"/>
      <c r="U118" s="1"/>
      <c r="V118" s="9"/>
      <c r="W118" s="9"/>
      <c r="X118" s="9"/>
      <c r="AB118" s="9"/>
      <c r="AC118" s="1"/>
      <c r="AD118" s="1"/>
      <c r="AE118" s="9"/>
      <c r="AF118" s="9"/>
      <c r="AG118" s="9"/>
      <c r="AK118" s="9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9"/>
      <c r="E119" s="9"/>
      <c r="F119" s="1"/>
      <c r="G119" s="1"/>
      <c r="H119" s="1"/>
      <c r="I119" s="1"/>
      <c r="J119" s="1"/>
      <c r="K119" s="1"/>
      <c r="L119" s="1"/>
      <c r="M119" s="9"/>
      <c r="N119" s="9"/>
      <c r="O119" s="9"/>
      <c r="S119" s="9"/>
      <c r="T119" s="1"/>
      <c r="U119" s="1"/>
      <c r="V119" s="9"/>
      <c r="W119" s="9"/>
      <c r="X119" s="9"/>
      <c r="AB119" s="9"/>
      <c r="AC119" s="1"/>
      <c r="AD119" s="1"/>
      <c r="AE119" s="9"/>
      <c r="AF119" s="9"/>
      <c r="AG119" s="9"/>
      <c r="AK119" s="9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9"/>
      <c r="E120" s="9"/>
      <c r="F120" s="1"/>
      <c r="G120" s="1"/>
      <c r="H120" s="1"/>
      <c r="I120" s="1"/>
      <c r="J120" s="1"/>
      <c r="K120" s="1"/>
      <c r="L120" s="1"/>
      <c r="M120" s="9"/>
      <c r="N120" s="9"/>
      <c r="O120" s="9"/>
      <c r="S120" s="9"/>
      <c r="T120" s="1"/>
      <c r="U120" s="1"/>
      <c r="V120" s="9"/>
      <c r="W120" s="9"/>
      <c r="X120" s="9"/>
      <c r="AB120" s="9"/>
      <c r="AC120" s="1"/>
      <c r="AD120" s="1"/>
      <c r="AE120" s="9"/>
      <c r="AF120" s="9"/>
      <c r="AG120" s="9"/>
      <c r="AK120" s="9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9"/>
      <c r="E121" s="9"/>
      <c r="F121" s="1"/>
      <c r="G121" s="1"/>
      <c r="H121" s="1"/>
      <c r="I121" s="1"/>
      <c r="J121" s="1"/>
      <c r="K121" s="1"/>
      <c r="L121" s="1"/>
      <c r="M121" s="9"/>
      <c r="N121" s="9"/>
      <c r="O121" s="9"/>
      <c r="S121" s="9"/>
      <c r="T121" s="1"/>
      <c r="U121" s="1"/>
      <c r="V121" s="9"/>
      <c r="W121" s="9"/>
      <c r="X121" s="9"/>
      <c r="AB121" s="9"/>
      <c r="AC121" s="1"/>
      <c r="AD121" s="1"/>
      <c r="AE121" s="9"/>
      <c r="AF121" s="9"/>
      <c r="AG121" s="9"/>
      <c r="AK121" s="9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9"/>
      <c r="E122" s="9"/>
      <c r="F122" s="1"/>
      <c r="G122" s="1"/>
      <c r="H122" s="1"/>
      <c r="I122" s="1"/>
      <c r="J122" s="1"/>
      <c r="K122" s="1"/>
      <c r="L122" s="1"/>
      <c r="M122" s="9"/>
      <c r="N122" s="9"/>
      <c r="O122" s="9"/>
      <c r="S122" s="9"/>
      <c r="T122" s="1"/>
      <c r="U122" s="1"/>
      <c r="V122" s="9"/>
      <c r="W122" s="9"/>
      <c r="X122" s="9"/>
      <c r="AB122" s="9"/>
      <c r="AC122" s="1"/>
      <c r="AD122" s="1"/>
      <c r="AE122" s="9"/>
      <c r="AF122" s="9"/>
      <c r="AG122" s="9"/>
      <c r="AK122" s="9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9"/>
      <c r="E123" s="9"/>
      <c r="F123" s="1"/>
      <c r="G123" s="1"/>
      <c r="H123" s="1"/>
      <c r="I123" s="1"/>
      <c r="J123" s="1"/>
      <c r="K123" s="1"/>
      <c r="L123" s="1"/>
      <c r="M123" s="9"/>
      <c r="N123" s="9"/>
      <c r="O123" s="9"/>
      <c r="S123" s="9"/>
      <c r="T123" s="1"/>
      <c r="U123" s="1"/>
      <c r="V123" s="9"/>
      <c r="W123" s="9"/>
      <c r="X123" s="9"/>
      <c r="AB123" s="9"/>
      <c r="AC123" s="1"/>
      <c r="AD123" s="1"/>
      <c r="AE123" s="9"/>
      <c r="AF123" s="9"/>
      <c r="AG123" s="9"/>
      <c r="AK123" s="9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9"/>
      <c r="E124" s="9"/>
      <c r="F124" s="1"/>
      <c r="G124" s="1"/>
      <c r="H124" s="1"/>
      <c r="I124" s="1"/>
      <c r="J124" s="1"/>
      <c r="K124" s="1"/>
      <c r="L124" s="1"/>
      <c r="M124" s="9"/>
      <c r="N124" s="9"/>
      <c r="O124" s="9"/>
      <c r="S124" s="9"/>
      <c r="T124" s="1"/>
      <c r="U124" s="1"/>
      <c r="V124" s="9"/>
      <c r="W124" s="9"/>
      <c r="X124" s="9"/>
      <c r="AB124" s="9"/>
      <c r="AC124" s="1"/>
      <c r="AD124" s="1"/>
      <c r="AE124" s="9"/>
      <c r="AF124" s="9"/>
      <c r="AG124" s="9"/>
      <c r="AK124" s="9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9"/>
      <c r="E125" s="9"/>
      <c r="F125" s="1"/>
      <c r="G125" s="1"/>
      <c r="H125" s="1"/>
      <c r="I125" s="1"/>
      <c r="J125" s="1"/>
      <c r="K125" s="1"/>
      <c r="L125" s="1"/>
      <c r="M125" s="9"/>
      <c r="N125" s="9"/>
      <c r="O125" s="9"/>
      <c r="S125" s="9"/>
      <c r="T125" s="1"/>
      <c r="U125" s="1"/>
      <c r="V125" s="9"/>
      <c r="W125" s="9"/>
      <c r="X125" s="9"/>
      <c r="AB125" s="9"/>
      <c r="AC125" s="1"/>
      <c r="AD125" s="1"/>
      <c r="AE125" s="9"/>
      <c r="AF125" s="9"/>
      <c r="AG125" s="9"/>
      <c r="AK125" s="9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9"/>
      <c r="E126" s="9"/>
      <c r="F126" s="1"/>
      <c r="G126" s="1"/>
      <c r="H126" s="1"/>
      <c r="I126" s="1"/>
      <c r="J126" s="1"/>
      <c r="K126" s="1"/>
      <c r="L126" s="1"/>
      <c r="M126" s="9"/>
      <c r="N126" s="9"/>
      <c r="O126" s="9"/>
      <c r="S126" s="9"/>
      <c r="T126" s="1"/>
      <c r="U126" s="1"/>
      <c r="V126" s="9"/>
      <c r="W126" s="9"/>
      <c r="X126" s="9"/>
      <c r="AB126" s="9"/>
      <c r="AC126" s="1"/>
      <c r="AD126" s="1"/>
      <c r="AE126" s="9"/>
      <c r="AF126" s="9"/>
      <c r="AG126" s="9"/>
      <c r="AK126" s="9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S127" s="1"/>
      <c r="T127" s="1"/>
      <c r="U127" s="1"/>
      <c r="V127" s="1"/>
      <c r="W127" s="1"/>
      <c r="X127" s="1"/>
      <c r="AB127" s="1"/>
      <c r="AC127" s="1"/>
      <c r="AD127" s="1"/>
      <c r="AE127" s="1"/>
      <c r="AF127" s="1"/>
      <c r="AG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S128" s="1"/>
      <c r="T128" s="1"/>
      <c r="U128" s="1"/>
      <c r="V128" s="1"/>
      <c r="W128" s="1"/>
      <c r="X128" s="1"/>
      <c r="AB128" s="1"/>
      <c r="AC128" s="1"/>
      <c r="AD128" s="1"/>
      <c r="AE128" s="1"/>
      <c r="AF128" s="1"/>
      <c r="AG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S129" s="1"/>
      <c r="T129" s="1"/>
      <c r="U129" s="1"/>
      <c r="V129" s="1"/>
      <c r="W129" s="1"/>
      <c r="X129" s="1"/>
      <c r="AB129" s="1"/>
      <c r="AC129" s="1"/>
      <c r="AD129" s="1"/>
      <c r="AE129" s="1"/>
      <c r="AF129" s="1"/>
      <c r="AG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S130" s="1"/>
      <c r="T130" s="1"/>
      <c r="U130" s="1"/>
      <c r="V130" s="1"/>
      <c r="W130" s="1"/>
      <c r="X130" s="1"/>
      <c r="AB130" s="1"/>
      <c r="AC130" s="1"/>
      <c r="AD130" s="1"/>
      <c r="AE130" s="1"/>
      <c r="AF130" s="1"/>
      <c r="AG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S131" s="1"/>
      <c r="T131" s="1"/>
      <c r="U131" s="1"/>
      <c r="V131" s="1"/>
      <c r="W131" s="1"/>
      <c r="X131" s="1"/>
      <c r="AB131" s="1"/>
      <c r="AC131" s="1"/>
      <c r="AD131" s="1"/>
      <c r="AE131" s="1"/>
      <c r="AF131" s="1"/>
      <c r="AG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S132" s="1"/>
      <c r="T132" s="1"/>
      <c r="U132" s="1"/>
      <c r="V132" s="1"/>
      <c r="W132" s="1"/>
      <c r="X132" s="1"/>
      <c r="AB132" s="1"/>
      <c r="AC132" s="1"/>
      <c r="AD132" s="1"/>
      <c r="AE132" s="1"/>
      <c r="AF132" s="1"/>
      <c r="AG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S133" s="1"/>
      <c r="T133" s="1"/>
      <c r="U133" s="1"/>
      <c r="V133" s="1"/>
      <c r="W133" s="1"/>
      <c r="X133" s="1"/>
      <c r="AB133" s="1"/>
      <c r="AC133" s="1"/>
      <c r="AD133" s="1"/>
      <c r="AE133" s="1"/>
      <c r="AF133" s="1"/>
      <c r="AG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S134" s="1"/>
      <c r="T134" s="1"/>
      <c r="U134" s="1"/>
      <c r="V134" s="1"/>
      <c r="W134" s="1"/>
      <c r="X134" s="1"/>
      <c r="AB134" s="1"/>
      <c r="AC134" s="1"/>
      <c r="AD134" s="1"/>
      <c r="AE134" s="1"/>
      <c r="AF134" s="1"/>
      <c r="AG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S135" s="1"/>
      <c r="T135" s="1"/>
      <c r="U135" s="1"/>
      <c r="V135" s="1"/>
      <c r="W135" s="1"/>
      <c r="X135" s="1"/>
      <c r="AB135" s="1"/>
      <c r="AC135" s="1"/>
      <c r="AD135" s="1"/>
      <c r="AE135" s="1"/>
      <c r="AF135" s="1"/>
      <c r="AG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S136" s="1"/>
      <c r="T136" s="1"/>
      <c r="U136" s="1"/>
      <c r="V136" s="1"/>
      <c r="W136" s="1"/>
      <c r="X136" s="1"/>
      <c r="AB136" s="1"/>
      <c r="AC136" s="1"/>
      <c r="AD136" s="1"/>
      <c r="AE136" s="1"/>
      <c r="AF136" s="1"/>
      <c r="AG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S137" s="1"/>
      <c r="T137" s="1"/>
      <c r="U137" s="1"/>
      <c r="V137" s="1"/>
      <c r="W137" s="1"/>
      <c r="X137" s="1"/>
      <c r="AB137" s="1"/>
      <c r="AC137" s="1"/>
      <c r="AD137" s="1"/>
      <c r="AE137" s="1"/>
      <c r="AF137" s="1"/>
      <c r="AG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S138" s="1"/>
      <c r="T138" s="1"/>
      <c r="U138" s="1"/>
      <c r="V138" s="1"/>
      <c r="W138" s="1"/>
      <c r="X138" s="1"/>
      <c r="AB138" s="1"/>
      <c r="AC138" s="1"/>
      <c r="AD138" s="1"/>
      <c r="AE138" s="1"/>
      <c r="AF138" s="1"/>
      <c r="AG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S139" s="1"/>
      <c r="T139" s="1"/>
      <c r="U139" s="1"/>
      <c r="V139" s="1"/>
      <c r="W139" s="1"/>
      <c r="X139" s="1"/>
      <c r="AB139" s="1"/>
      <c r="AC139" s="1"/>
      <c r="AD139" s="1"/>
      <c r="AE139" s="1"/>
      <c r="AF139" s="1"/>
      <c r="AG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S140" s="1"/>
      <c r="T140" s="1"/>
      <c r="U140" s="1"/>
      <c r="V140" s="1"/>
      <c r="W140" s="1"/>
      <c r="X140" s="1"/>
      <c r="AB140" s="1"/>
      <c r="AC140" s="1"/>
      <c r="AD140" s="1"/>
      <c r="AE140" s="1"/>
      <c r="AF140" s="1"/>
      <c r="AG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S141" s="1"/>
      <c r="T141" s="1"/>
      <c r="U141" s="1"/>
      <c r="V141" s="1"/>
      <c r="W141" s="1"/>
      <c r="X141" s="1"/>
      <c r="AB141" s="1"/>
      <c r="AC141" s="1"/>
      <c r="AD141" s="1"/>
      <c r="AE141" s="1"/>
      <c r="AF141" s="1"/>
      <c r="AG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S142" s="1"/>
      <c r="T142" s="1"/>
      <c r="U142" s="1"/>
      <c r="V142" s="1"/>
      <c r="W142" s="1"/>
      <c r="X142" s="1"/>
      <c r="AB142" s="1"/>
      <c r="AC142" s="1"/>
      <c r="AD142" s="1"/>
      <c r="AE142" s="1"/>
      <c r="AF142" s="1"/>
      <c r="AG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S143" s="1"/>
      <c r="T143" s="1"/>
      <c r="U143" s="1"/>
      <c r="V143" s="1"/>
      <c r="W143" s="1"/>
      <c r="X143" s="1"/>
      <c r="AB143" s="1"/>
      <c r="AC143" s="1"/>
      <c r="AD143" s="1"/>
      <c r="AE143" s="1"/>
      <c r="AF143" s="1"/>
      <c r="AG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S144" s="1"/>
      <c r="T144" s="1"/>
      <c r="U144" s="1"/>
      <c r="V144" s="1"/>
      <c r="W144" s="1"/>
      <c r="X144" s="1"/>
      <c r="AB144" s="1"/>
      <c r="AC144" s="1"/>
      <c r="AD144" s="1"/>
      <c r="AE144" s="1"/>
      <c r="AF144" s="1"/>
      <c r="AG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S145" s="1"/>
      <c r="T145" s="1"/>
      <c r="U145" s="1"/>
      <c r="V145" s="1"/>
      <c r="W145" s="1"/>
      <c r="X145" s="1"/>
      <c r="AB145" s="1"/>
      <c r="AC145" s="1"/>
      <c r="AD145" s="1"/>
      <c r="AE145" s="1"/>
      <c r="AF145" s="1"/>
      <c r="AG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S146" s="1"/>
      <c r="T146" s="1"/>
      <c r="U146" s="1"/>
      <c r="V146" s="1"/>
      <c r="W146" s="1"/>
      <c r="X146" s="1"/>
      <c r="AB146" s="1"/>
      <c r="AC146" s="1"/>
      <c r="AD146" s="1"/>
      <c r="AE146" s="1"/>
      <c r="AF146" s="1"/>
      <c r="AG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S147" s="1"/>
      <c r="T147" s="1"/>
      <c r="U147" s="1"/>
      <c r="V147" s="1"/>
      <c r="W147" s="1"/>
      <c r="X147" s="1"/>
      <c r="AB147" s="1"/>
      <c r="AC147" s="1"/>
      <c r="AD147" s="1"/>
      <c r="AE147" s="1"/>
      <c r="AF147" s="1"/>
      <c r="AG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S148" s="1"/>
      <c r="T148" s="1"/>
      <c r="U148" s="1"/>
      <c r="V148" s="1"/>
      <c r="W148" s="1"/>
      <c r="X148" s="1"/>
      <c r="AB148" s="1"/>
      <c r="AC148" s="1"/>
      <c r="AD148" s="1"/>
      <c r="AE148" s="1"/>
      <c r="AF148" s="1"/>
      <c r="AG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S149" s="1"/>
      <c r="T149" s="1"/>
      <c r="U149" s="1"/>
      <c r="V149" s="1"/>
      <c r="W149" s="1"/>
      <c r="X149" s="1"/>
      <c r="AB149" s="1"/>
      <c r="AC149" s="1"/>
      <c r="AD149" s="1"/>
      <c r="AE149" s="1"/>
      <c r="AF149" s="1"/>
      <c r="AG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S150" s="1"/>
      <c r="T150" s="1"/>
      <c r="U150" s="1"/>
      <c r="V150" s="1"/>
      <c r="W150" s="1"/>
      <c r="X150" s="1"/>
      <c r="AB150" s="1"/>
      <c r="AC150" s="1"/>
      <c r="AD150" s="1"/>
      <c r="AE150" s="1"/>
      <c r="AF150" s="1"/>
      <c r="AG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S151" s="1"/>
      <c r="T151" s="1"/>
      <c r="U151" s="1"/>
      <c r="V151" s="1"/>
      <c r="W151" s="1"/>
      <c r="X151" s="1"/>
      <c r="AB151" s="1"/>
      <c r="AC151" s="1"/>
      <c r="AD151" s="1"/>
      <c r="AE151" s="1"/>
      <c r="AF151" s="1"/>
      <c r="AG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S152" s="1"/>
      <c r="T152" s="1"/>
      <c r="U152" s="1"/>
      <c r="V152" s="1"/>
      <c r="W152" s="1"/>
      <c r="X152" s="1"/>
      <c r="AB152" s="1"/>
      <c r="AC152" s="1"/>
      <c r="AD152" s="1"/>
      <c r="AE152" s="1"/>
      <c r="AF152" s="1"/>
      <c r="AG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S153" s="1"/>
      <c r="T153" s="1"/>
      <c r="U153" s="1"/>
      <c r="V153" s="1"/>
      <c r="W153" s="1"/>
      <c r="X153" s="1"/>
      <c r="AB153" s="1"/>
      <c r="AC153" s="1"/>
      <c r="AD153" s="1"/>
      <c r="AE153" s="1"/>
      <c r="AF153" s="1"/>
      <c r="AG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S154" s="1"/>
      <c r="T154" s="1"/>
      <c r="U154" s="1"/>
      <c r="V154" s="1"/>
      <c r="W154" s="1"/>
      <c r="X154" s="1"/>
      <c r="AB154" s="1"/>
      <c r="AC154" s="1"/>
      <c r="AD154" s="1"/>
      <c r="AE154" s="1"/>
      <c r="AF154" s="1"/>
      <c r="AG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S155" s="1"/>
      <c r="T155" s="1"/>
      <c r="U155" s="1"/>
      <c r="V155" s="1"/>
      <c r="W155" s="1"/>
      <c r="X155" s="1"/>
      <c r="AB155" s="1"/>
      <c r="AC155" s="1"/>
      <c r="AD155" s="1"/>
      <c r="AE155" s="1"/>
      <c r="AF155" s="1"/>
      <c r="AG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S156" s="1"/>
      <c r="T156" s="1"/>
      <c r="U156" s="1"/>
      <c r="V156" s="1"/>
      <c r="W156" s="1"/>
      <c r="X156" s="1"/>
      <c r="AB156" s="1"/>
      <c r="AC156" s="1"/>
      <c r="AD156" s="1"/>
      <c r="AE156" s="1"/>
      <c r="AF156" s="1"/>
      <c r="AG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S157" s="1"/>
      <c r="T157" s="1"/>
      <c r="U157" s="1"/>
      <c r="V157" s="1"/>
      <c r="W157" s="1"/>
      <c r="X157" s="1"/>
      <c r="AB157" s="1"/>
      <c r="AC157" s="1"/>
      <c r="AD157" s="1"/>
      <c r="AE157" s="1"/>
      <c r="AF157" s="1"/>
      <c r="AG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S158" s="1"/>
      <c r="T158" s="1"/>
      <c r="U158" s="1"/>
      <c r="V158" s="1"/>
      <c r="W158" s="1"/>
      <c r="X158" s="1"/>
      <c r="AB158" s="1"/>
      <c r="AC158" s="1"/>
      <c r="AD158" s="1"/>
      <c r="AE158" s="1"/>
      <c r="AF158" s="1"/>
      <c r="AG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S159" s="1"/>
      <c r="T159" s="1"/>
      <c r="U159" s="1"/>
      <c r="V159" s="1"/>
      <c r="W159" s="1"/>
      <c r="X159" s="1"/>
      <c r="AB159" s="1"/>
      <c r="AC159" s="1"/>
      <c r="AD159" s="1"/>
      <c r="AE159" s="1"/>
      <c r="AF159" s="1"/>
      <c r="AG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S160" s="1"/>
      <c r="T160" s="1"/>
      <c r="U160" s="1"/>
      <c r="V160" s="1"/>
      <c r="W160" s="1"/>
      <c r="X160" s="1"/>
      <c r="AB160" s="1"/>
      <c r="AC160" s="1"/>
      <c r="AD160" s="1"/>
      <c r="AE160" s="1"/>
      <c r="AF160" s="1"/>
      <c r="AG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S161" s="1"/>
      <c r="T161" s="1"/>
      <c r="U161" s="1"/>
      <c r="V161" s="1"/>
      <c r="W161" s="1"/>
      <c r="X161" s="1"/>
      <c r="AB161" s="1"/>
      <c r="AC161" s="1"/>
      <c r="AD161" s="1"/>
      <c r="AE161" s="1"/>
      <c r="AF161" s="1"/>
      <c r="AG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S162" s="1"/>
      <c r="T162" s="1"/>
      <c r="U162" s="1"/>
      <c r="V162" s="1"/>
      <c r="W162" s="1"/>
      <c r="X162" s="1"/>
      <c r="AB162" s="1"/>
      <c r="AC162" s="1"/>
      <c r="AD162" s="1"/>
      <c r="AE162" s="1"/>
      <c r="AF162" s="1"/>
      <c r="AG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S163" s="1"/>
      <c r="T163" s="1"/>
      <c r="U163" s="1"/>
      <c r="V163" s="1"/>
      <c r="W163" s="1"/>
      <c r="X163" s="1"/>
      <c r="AB163" s="1"/>
      <c r="AC163" s="1"/>
      <c r="AD163" s="1"/>
      <c r="AE163" s="1"/>
      <c r="AF163" s="1"/>
      <c r="AG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S164" s="1"/>
      <c r="T164" s="1"/>
      <c r="U164" s="1"/>
      <c r="V164" s="1"/>
      <c r="W164" s="1"/>
      <c r="X164" s="1"/>
      <c r="AB164" s="1"/>
      <c r="AC164" s="1"/>
      <c r="AD164" s="1"/>
      <c r="AE164" s="1"/>
      <c r="AF164" s="1"/>
      <c r="AG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S165" s="1"/>
      <c r="T165" s="1"/>
      <c r="U165" s="1"/>
      <c r="V165" s="1"/>
      <c r="W165" s="1"/>
      <c r="X165" s="1"/>
      <c r="AB165" s="1"/>
      <c r="AC165" s="1"/>
      <c r="AD165" s="1"/>
      <c r="AE165" s="1"/>
      <c r="AF165" s="1"/>
      <c r="AG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S166" s="1"/>
      <c r="T166" s="1"/>
      <c r="U166" s="1"/>
      <c r="V166" s="1"/>
      <c r="W166" s="1"/>
      <c r="X166" s="1"/>
      <c r="AB166" s="1"/>
      <c r="AC166" s="1"/>
      <c r="AD166" s="1"/>
      <c r="AE166" s="1"/>
      <c r="AF166" s="1"/>
      <c r="AG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S167" s="1"/>
      <c r="T167" s="1"/>
      <c r="U167" s="1"/>
      <c r="V167" s="1"/>
      <c r="W167" s="1"/>
      <c r="X167" s="1"/>
      <c r="AB167" s="1"/>
      <c r="AC167" s="1"/>
      <c r="AD167" s="1"/>
      <c r="AE167" s="1"/>
      <c r="AF167" s="1"/>
      <c r="AG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S168" s="1"/>
      <c r="T168" s="1"/>
      <c r="U168" s="1"/>
      <c r="V168" s="1"/>
      <c r="W168" s="1"/>
      <c r="X168" s="1"/>
      <c r="AB168" s="1"/>
      <c r="AC168" s="1"/>
      <c r="AD168" s="1"/>
      <c r="AE168" s="1"/>
      <c r="AF168" s="1"/>
      <c r="AG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S169" s="1"/>
      <c r="T169" s="1"/>
      <c r="U169" s="1"/>
      <c r="V169" s="1"/>
      <c r="W169" s="1"/>
      <c r="X169" s="1"/>
      <c r="AB169" s="1"/>
      <c r="AC169" s="1"/>
      <c r="AD169" s="1"/>
      <c r="AE169" s="1"/>
      <c r="AF169" s="1"/>
      <c r="AG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S170" s="1"/>
      <c r="T170" s="1"/>
      <c r="U170" s="1"/>
      <c r="V170" s="1"/>
      <c r="W170" s="1"/>
      <c r="X170" s="1"/>
      <c r="AB170" s="1"/>
      <c r="AC170" s="1"/>
      <c r="AD170" s="1"/>
      <c r="AE170" s="1"/>
      <c r="AF170" s="1"/>
      <c r="AG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S171" s="1"/>
      <c r="T171" s="1"/>
      <c r="U171" s="1"/>
      <c r="V171" s="1"/>
      <c r="W171" s="1"/>
      <c r="X171" s="1"/>
      <c r="AB171" s="1"/>
      <c r="AC171" s="1"/>
      <c r="AD171" s="1"/>
      <c r="AE171" s="1"/>
      <c r="AF171" s="1"/>
      <c r="AG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S172" s="1"/>
      <c r="T172" s="1"/>
      <c r="U172" s="1"/>
      <c r="V172" s="1"/>
      <c r="W172" s="1"/>
      <c r="X172" s="1"/>
      <c r="AB172" s="1"/>
      <c r="AC172" s="1"/>
      <c r="AD172" s="1"/>
      <c r="AE172" s="1"/>
      <c r="AF172" s="1"/>
      <c r="AG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S173" s="1"/>
      <c r="T173" s="1"/>
      <c r="U173" s="1"/>
      <c r="V173" s="1"/>
      <c r="W173" s="1"/>
      <c r="X173" s="1"/>
      <c r="AB173" s="1"/>
      <c r="AC173" s="1"/>
      <c r="AD173" s="1"/>
      <c r="AE173" s="1"/>
      <c r="AF173" s="1"/>
      <c r="AG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S174" s="1"/>
      <c r="T174" s="1"/>
      <c r="U174" s="1"/>
      <c r="V174" s="1"/>
      <c r="W174" s="1"/>
      <c r="X174" s="1"/>
      <c r="AB174" s="1"/>
      <c r="AC174" s="1"/>
      <c r="AD174" s="1"/>
      <c r="AE174" s="1"/>
      <c r="AF174" s="1"/>
      <c r="AG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S175" s="1"/>
      <c r="T175" s="1"/>
      <c r="U175" s="1"/>
      <c r="V175" s="1"/>
      <c r="W175" s="1"/>
      <c r="X175" s="1"/>
      <c r="AB175" s="1"/>
      <c r="AC175" s="1"/>
      <c r="AD175" s="1"/>
      <c r="AE175" s="1"/>
      <c r="AF175" s="1"/>
      <c r="AG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S176" s="1"/>
      <c r="T176" s="1"/>
      <c r="U176" s="1"/>
      <c r="V176" s="1"/>
      <c r="W176" s="1"/>
      <c r="X176" s="1"/>
      <c r="AB176" s="1"/>
      <c r="AC176" s="1"/>
      <c r="AD176" s="1"/>
      <c r="AE176" s="1"/>
      <c r="AF176" s="1"/>
      <c r="AG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S177" s="1"/>
      <c r="T177" s="1"/>
      <c r="U177" s="1"/>
      <c r="V177" s="1"/>
      <c r="W177" s="1"/>
      <c r="X177" s="1"/>
      <c r="AB177" s="1"/>
      <c r="AC177" s="1"/>
      <c r="AD177" s="1"/>
      <c r="AE177" s="1"/>
      <c r="AF177" s="1"/>
      <c r="AG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S178" s="1"/>
      <c r="T178" s="1"/>
      <c r="U178" s="1"/>
      <c r="V178" s="1"/>
      <c r="W178" s="1"/>
      <c r="X178" s="1"/>
      <c r="AB178" s="1"/>
      <c r="AC178" s="1"/>
      <c r="AD178" s="1"/>
      <c r="AE178" s="1"/>
      <c r="AF178" s="1"/>
      <c r="AG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S179" s="1"/>
      <c r="T179" s="1"/>
      <c r="U179" s="1"/>
      <c r="V179" s="1"/>
      <c r="W179" s="1"/>
      <c r="X179" s="1"/>
      <c r="AB179" s="1"/>
      <c r="AC179" s="1"/>
      <c r="AD179" s="1"/>
      <c r="AE179" s="1"/>
      <c r="AF179" s="1"/>
      <c r="AG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S180" s="1"/>
      <c r="T180" s="1"/>
      <c r="U180" s="1"/>
      <c r="V180" s="1"/>
      <c r="W180" s="1"/>
      <c r="X180" s="1"/>
      <c r="AB180" s="1"/>
      <c r="AC180" s="1"/>
      <c r="AD180" s="1"/>
      <c r="AE180" s="1"/>
      <c r="AF180" s="1"/>
      <c r="AG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S181" s="1"/>
      <c r="T181" s="1"/>
      <c r="U181" s="1"/>
      <c r="V181" s="1"/>
      <c r="W181" s="1"/>
      <c r="X181" s="1"/>
      <c r="AB181" s="1"/>
      <c r="AC181" s="1"/>
      <c r="AD181" s="1"/>
      <c r="AE181" s="1"/>
      <c r="AF181" s="1"/>
      <c r="AG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S182" s="1"/>
      <c r="T182" s="1"/>
      <c r="U182" s="1"/>
      <c r="V182" s="1"/>
      <c r="W182" s="1"/>
      <c r="X182" s="1"/>
      <c r="AB182" s="1"/>
      <c r="AC182" s="1"/>
      <c r="AD182" s="1"/>
      <c r="AE182" s="1"/>
      <c r="AF182" s="1"/>
      <c r="AG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S183" s="1"/>
      <c r="T183" s="1"/>
      <c r="U183" s="1"/>
      <c r="V183" s="1"/>
      <c r="W183" s="1"/>
      <c r="X183" s="1"/>
      <c r="AB183" s="1"/>
      <c r="AC183" s="1"/>
      <c r="AD183" s="1"/>
      <c r="AE183" s="1"/>
      <c r="AF183" s="1"/>
      <c r="AG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S184" s="1"/>
      <c r="T184" s="1"/>
      <c r="U184" s="1"/>
      <c r="V184" s="1"/>
      <c r="W184" s="1"/>
      <c r="X184" s="1"/>
      <c r="AB184" s="1"/>
      <c r="AC184" s="1"/>
      <c r="AD184" s="1"/>
      <c r="AE184" s="1"/>
      <c r="AF184" s="1"/>
      <c r="AG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S185" s="1"/>
      <c r="T185" s="1"/>
      <c r="U185" s="1"/>
      <c r="V185" s="1"/>
      <c r="W185" s="1"/>
      <c r="X185" s="1"/>
      <c r="AB185" s="1"/>
      <c r="AC185" s="1"/>
      <c r="AD185" s="1"/>
      <c r="AE185" s="1"/>
      <c r="AF185" s="1"/>
      <c r="AG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S186" s="1"/>
      <c r="T186" s="1"/>
      <c r="U186" s="1"/>
      <c r="V186" s="1"/>
      <c r="W186" s="1"/>
      <c r="X186" s="1"/>
      <c r="AB186" s="1"/>
      <c r="AC186" s="1"/>
      <c r="AD186" s="1"/>
      <c r="AE186" s="1"/>
      <c r="AF186" s="1"/>
      <c r="AG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S187" s="1"/>
      <c r="T187" s="1"/>
      <c r="U187" s="1"/>
      <c r="V187" s="1"/>
      <c r="W187" s="1"/>
      <c r="X187" s="1"/>
      <c r="AB187" s="1"/>
      <c r="AC187" s="1"/>
      <c r="AD187" s="1"/>
      <c r="AE187" s="1"/>
      <c r="AF187" s="1"/>
      <c r="AG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S188" s="1"/>
      <c r="T188" s="1"/>
      <c r="U188" s="1"/>
      <c r="V188" s="1"/>
      <c r="W188" s="1"/>
      <c r="X188" s="1"/>
      <c r="AB188" s="1"/>
      <c r="AC188" s="1"/>
      <c r="AD188" s="1"/>
      <c r="AE188" s="1"/>
      <c r="AF188" s="1"/>
      <c r="AG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S189" s="1"/>
      <c r="T189" s="1"/>
      <c r="U189" s="1"/>
      <c r="V189" s="1"/>
      <c r="W189" s="1"/>
      <c r="X189" s="1"/>
      <c r="AB189" s="1"/>
      <c r="AC189" s="1"/>
      <c r="AD189" s="1"/>
      <c r="AE189" s="1"/>
      <c r="AF189" s="1"/>
      <c r="AG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S190" s="1"/>
      <c r="T190" s="1"/>
      <c r="U190" s="1"/>
      <c r="V190" s="1"/>
      <c r="W190" s="1"/>
      <c r="X190" s="1"/>
      <c r="AB190" s="1"/>
      <c r="AC190" s="1"/>
      <c r="AD190" s="1"/>
      <c r="AE190" s="1"/>
      <c r="AF190" s="1"/>
      <c r="AG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S191" s="1"/>
      <c r="T191" s="1"/>
      <c r="U191" s="1"/>
      <c r="V191" s="1"/>
      <c r="W191" s="1"/>
      <c r="X191" s="1"/>
      <c r="AB191" s="1"/>
      <c r="AC191" s="1"/>
      <c r="AD191" s="1"/>
      <c r="AE191" s="1"/>
      <c r="AF191" s="1"/>
      <c r="AG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S192" s="1"/>
      <c r="T192" s="1"/>
      <c r="U192" s="1"/>
      <c r="V192" s="1"/>
      <c r="W192" s="1"/>
      <c r="X192" s="1"/>
      <c r="AB192" s="1"/>
      <c r="AC192" s="1"/>
      <c r="AD192" s="1"/>
      <c r="AE192" s="1"/>
      <c r="AF192" s="1"/>
      <c r="AG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S193" s="1"/>
      <c r="T193" s="1"/>
      <c r="U193" s="1"/>
      <c r="V193" s="1"/>
      <c r="W193" s="1"/>
      <c r="X193" s="1"/>
      <c r="AB193" s="1"/>
      <c r="AC193" s="1"/>
      <c r="AD193" s="1"/>
      <c r="AE193" s="1"/>
      <c r="AF193" s="1"/>
      <c r="AG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S194" s="1"/>
      <c r="T194" s="1"/>
      <c r="U194" s="1"/>
      <c r="V194" s="1"/>
      <c r="W194" s="1"/>
      <c r="X194" s="1"/>
      <c r="AB194" s="1"/>
      <c r="AC194" s="1"/>
      <c r="AD194" s="1"/>
      <c r="AE194" s="1"/>
      <c r="AF194" s="1"/>
      <c r="AG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S195" s="1"/>
      <c r="T195" s="1"/>
      <c r="U195" s="1"/>
      <c r="V195" s="1"/>
      <c r="W195" s="1"/>
      <c r="X195" s="1"/>
      <c r="AB195" s="1"/>
      <c r="AC195" s="1"/>
      <c r="AD195" s="1"/>
      <c r="AE195" s="1"/>
      <c r="AF195" s="1"/>
      <c r="AG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S196" s="1"/>
      <c r="T196" s="1"/>
      <c r="U196" s="1"/>
      <c r="V196" s="1"/>
      <c r="W196" s="1"/>
      <c r="X196" s="1"/>
      <c r="AB196" s="1"/>
      <c r="AC196" s="1"/>
      <c r="AD196" s="1"/>
      <c r="AE196" s="1"/>
      <c r="AF196" s="1"/>
      <c r="AG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S197" s="1"/>
      <c r="T197" s="1"/>
      <c r="U197" s="1"/>
      <c r="V197" s="1"/>
      <c r="W197" s="1"/>
      <c r="X197" s="1"/>
      <c r="AB197" s="1"/>
      <c r="AC197" s="1"/>
      <c r="AD197" s="1"/>
      <c r="AE197" s="1"/>
      <c r="AF197" s="1"/>
      <c r="AG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S198" s="1"/>
      <c r="T198" s="1"/>
      <c r="U198" s="1"/>
      <c r="V198" s="1"/>
      <c r="W198" s="1"/>
      <c r="X198" s="1"/>
      <c r="AB198" s="1"/>
      <c r="AC198" s="1"/>
      <c r="AD198" s="1"/>
      <c r="AE198" s="1"/>
      <c r="AF198" s="1"/>
      <c r="AG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S199" s="1"/>
      <c r="T199" s="1"/>
      <c r="U199" s="1"/>
      <c r="V199" s="1"/>
      <c r="W199" s="1"/>
      <c r="X199" s="1"/>
      <c r="AB199" s="1"/>
      <c r="AC199" s="1"/>
      <c r="AD199" s="1"/>
      <c r="AE199" s="1"/>
      <c r="AF199" s="1"/>
      <c r="AG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S200" s="1"/>
      <c r="T200" s="1"/>
      <c r="U200" s="1"/>
      <c r="V200" s="1"/>
      <c r="W200" s="1"/>
      <c r="X200" s="1"/>
      <c r="AB200" s="1"/>
      <c r="AC200" s="1"/>
      <c r="AD200" s="1"/>
      <c r="AE200" s="1"/>
      <c r="AF200" s="1"/>
      <c r="AG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S201" s="1"/>
      <c r="T201" s="1"/>
      <c r="U201" s="1"/>
      <c r="V201" s="1"/>
      <c r="W201" s="1"/>
      <c r="X201" s="1"/>
      <c r="AB201" s="1"/>
      <c r="AC201" s="1"/>
      <c r="AD201" s="1"/>
      <c r="AE201" s="1"/>
      <c r="AF201" s="1"/>
      <c r="AG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S202" s="1"/>
      <c r="T202" s="1"/>
      <c r="U202" s="1"/>
      <c r="V202" s="1"/>
      <c r="W202" s="1"/>
      <c r="X202" s="1"/>
      <c r="AB202" s="1"/>
      <c r="AC202" s="1"/>
      <c r="AD202" s="1"/>
      <c r="AE202" s="1"/>
      <c r="AF202" s="1"/>
      <c r="AG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S203" s="1"/>
      <c r="T203" s="1"/>
      <c r="U203" s="1"/>
      <c r="V203" s="1"/>
      <c r="W203" s="1"/>
      <c r="X203" s="1"/>
      <c r="AB203" s="1"/>
      <c r="AC203" s="1"/>
      <c r="AD203" s="1"/>
      <c r="AE203" s="1"/>
      <c r="AF203" s="1"/>
      <c r="AG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S204" s="1"/>
      <c r="T204" s="1"/>
      <c r="U204" s="1"/>
      <c r="V204" s="1"/>
      <c r="W204" s="1"/>
      <c r="X204" s="1"/>
      <c r="AB204" s="1"/>
      <c r="AC204" s="1"/>
      <c r="AD204" s="1"/>
      <c r="AE204" s="1"/>
      <c r="AF204" s="1"/>
      <c r="AG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S205" s="1"/>
      <c r="T205" s="1"/>
      <c r="U205" s="1"/>
      <c r="V205" s="1"/>
      <c r="W205" s="1"/>
      <c r="X205" s="1"/>
      <c r="AB205" s="1"/>
      <c r="AC205" s="1"/>
      <c r="AD205" s="1"/>
      <c r="AE205" s="1"/>
      <c r="AF205" s="1"/>
      <c r="AG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S206" s="1"/>
      <c r="T206" s="1"/>
      <c r="U206" s="1"/>
      <c r="V206" s="1"/>
      <c r="W206" s="1"/>
      <c r="X206" s="1"/>
      <c r="AB206" s="1"/>
      <c r="AC206" s="1"/>
      <c r="AD206" s="1"/>
      <c r="AE206" s="1"/>
      <c r="AF206" s="1"/>
      <c r="AG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S207" s="1"/>
      <c r="T207" s="1"/>
      <c r="U207" s="1"/>
      <c r="V207" s="1"/>
      <c r="W207" s="1"/>
      <c r="X207" s="1"/>
      <c r="AB207" s="1"/>
      <c r="AC207" s="1"/>
      <c r="AD207" s="1"/>
      <c r="AE207" s="1"/>
      <c r="AF207" s="1"/>
      <c r="AG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S208" s="1"/>
      <c r="T208" s="1"/>
      <c r="U208" s="1"/>
      <c r="V208" s="1"/>
      <c r="W208" s="1"/>
      <c r="X208" s="1"/>
      <c r="AB208" s="1"/>
      <c r="AC208" s="1"/>
      <c r="AD208" s="1"/>
      <c r="AE208" s="1"/>
      <c r="AF208" s="1"/>
      <c r="AG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S209" s="1"/>
      <c r="T209" s="1"/>
      <c r="U209" s="1"/>
      <c r="V209" s="1"/>
      <c r="W209" s="1"/>
      <c r="X209" s="1"/>
      <c r="AB209" s="1"/>
      <c r="AC209" s="1"/>
      <c r="AD209" s="1"/>
      <c r="AE209" s="1"/>
      <c r="AF209" s="1"/>
      <c r="AG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S210" s="1"/>
      <c r="T210" s="1"/>
      <c r="U210" s="1"/>
      <c r="V210" s="1"/>
      <c r="W210" s="1"/>
      <c r="X210" s="1"/>
      <c r="AB210" s="1"/>
      <c r="AC210" s="1"/>
      <c r="AD210" s="1"/>
      <c r="AE210" s="1"/>
      <c r="AF210" s="1"/>
      <c r="AG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S211" s="1"/>
      <c r="T211" s="1"/>
      <c r="U211" s="1"/>
      <c r="V211" s="1"/>
      <c r="W211" s="1"/>
      <c r="X211" s="1"/>
      <c r="AB211" s="1"/>
      <c r="AC211" s="1"/>
      <c r="AD211" s="1"/>
      <c r="AE211" s="1"/>
      <c r="AF211" s="1"/>
      <c r="AG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S212" s="1"/>
      <c r="T212" s="1"/>
      <c r="U212" s="1"/>
      <c r="V212" s="1"/>
      <c r="W212" s="1"/>
      <c r="X212" s="1"/>
      <c r="AB212" s="1"/>
      <c r="AC212" s="1"/>
      <c r="AD212" s="1"/>
      <c r="AE212" s="1"/>
      <c r="AF212" s="1"/>
      <c r="AG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S213" s="1"/>
      <c r="T213" s="1"/>
      <c r="U213" s="1"/>
      <c r="V213" s="1"/>
      <c r="W213" s="1"/>
      <c r="X213" s="1"/>
      <c r="AB213" s="1"/>
      <c r="AC213" s="1"/>
      <c r="AD213" s="1"/>
      <c r="AE213" s="1"/>
      <c r="AF213" s="1"/>
      <c r="AG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S214" s="1"/>
      <c r="T214" s="1"/>
      <c r="U214" s="1"/>
      <c r="V214" s="1"/>
      <c r="W214" s="1"/>
      <c r="X214" s="1"/>
      <c r="AB214" s="1"/>
      <c r="AC214" s="1"/>
      <c r="AD214" s="1"/>
      <c r="AE214" s="1"/>
      <c r="AF214" s="1"/>
      <c r="AG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S215" s="1"/>
      <c r="T215" s="1"/>
      <c r="U215" s="1"/>
      <c r="V215" s="1"/>
      <c r="W215" s="1"/>
      <c r="X215" s="1"/>
      <c r="AB215" s="1"/>
      <c r="AC215" s="1"/>
      <c r="AD215" s="1"/>
      <c r="AE215" s="1"/>
      <c r="AF215" s="1"/>
      <c r="AG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S216" s="1"/>
      <c r="T216" s="1"/>
      <c r="U216" s="1"/>
      <c r="V216" s="1"/>
      <c r="W216" s="1"/>
      <c r="X216" s="1"/>
      <c r="AB216" s="1"/>
      <c r="AC216" s="1"/>
      <c r="AD216" s="1"/>
      <c r="AE216" s="1"/>
      <c r="AF216" s="1"/>
      <c r="AG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S217" s="1"/>
      <c r="T217" s="1"/>
      <c r="U217" s="1"/>
      <c r="V217" s="1"/>
      <c r="W217" s="1"/>
      <c r="X217" s="1"/>
      <c r="AB217" s="1"/>
      <c r="AC217" s="1"/>
      <c r="AD217" s="1"/>
      <c r="AE217" s="1"/>
      <c r="AF217" s="1"/>
      <c r="AG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S218" s="1"/>
      <c r="T218" s="1"/>
      <c r="U218" s="1"/>
      <c r="V218" s="1"/>
      <c r="W218" s="1"/>
      <c r="X218" s="1"/>
      <c r="AB218" s="1"/>
      <c r="AC218" s="1"/>
      <c r="AD218" s="1"/>
      <c r="AE218" s="1"/>
      <c r="AF218" s="1"/>
      <c r="AG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S219" s="1"/>
      <c r="T219" s="1"/>
      <c r="U219" s="1"/>
      <c r="V219" s="1"/>
      <c r="W219" s="1"/>
      <c r="X219" s="1"/>
      <c r="AB219" s="1"/>
      <c r="AC219" s="1"/>
      <c r="AD219" s="1"/>
      <c r="AE219" s="1"/>
      <c r="AF219" s="1"/>
      <c r="AG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S220" s="1"/>
      <c r="T220" s="1"/>
      <c r="U220" s="1"/>
      <c r="V220" s="1"/>
      <c r="W220" s="1"/>
      <c r="X220" s="1"/>
      <c r="AB220" s="1"/>
      <c r="AC220" s="1"/>
      <c r="AD220" s="1"/>
      <c r="AE220" s="1"/>
      <c r="AF220" s="1"/>
      <c r="AG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S221" s="1"/>
      <c r="T221" s="1"/>
      <c r="U221" s="1"/>
      <c r="V221" s="1"/>
      <c r="W221" s="1"/>
      <c r="X221" s="1"/>
      <c r="AB221" s="1"/>
      <c r="AC221" s="1"/>
      <c r="AD221" s="1"/>
      <c r="AE221" s="1"/>
      <c r="AF221" s="1"/>
      <c r="AG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S222" s="1"/>
      <c r="T222" s="1"/>
      <c r="U222" s="1"/>
      <c r="V222" s="1"/>
      <c r="W222" s="1"/>
      <c r="X222" s="1"/>
      <c r="AB222" s="1"/>
      <c r="AC222" s="1"/>
      <c r="AD222" s="1"/>
      <c r="AE222" s="1"/>
      <c r="AF222" s="1"/>
      <c r="AG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S223" s="1"/>
      <c r="T223" s="1"/>
      <c r="U223" s="1"/>
      <c r="V223" s="1"/>
      <c r="W223" s="1"/>
      <c r="X223" s="1"/>
      <c r="AB223" s="1"/>
      <c r="AC223" s="1"/>
      <c r="AD223" s="1"/>
      <c r="AE223" s="1"/>
      <c r="AF223" s="1"/>
      <c r="AG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S224" s="1"/>
      <c r="T224" s="1"/>
      <c r="U224" s="1"/>
      <c r="V224" s="1"/>
      <c r="W224" s="1"/>
      <c r="X224" s="1"/>
      <c r="AB224" s="1"/>
      <c r="AC224" s="1"/>
      <c r="AD224" s="1"/>
      <c r="AE224" s="1"/>
      <c r="AF224" s="1"/>
      <c r="AG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S225" s="1"/>
      <c r="T225" s="1"/>
      <c r="U225" s="1"/>
      <c r="V225" s="1"/>
      <c r="W225" s="1"/>
      <c r="X225" s="1"/>
      <c r="AB225" s="1"/>
      <c r="AC225" s="1"/>
      <c r="AD225" s="1"/>
      <c r="AE225" s="1"/>
      <c r="AF225" s="1"/>
      <c r="AG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S226" s="1"/>
      <c r="T226" s="1"/>
      <c r="U226" s="1"/>
      <c r="V226" s="1"/>
      <c r="W226" s="1"/>
      <c r="X226" s="1"/>
      <c r="AB226" s="1"/>
      <c r="AC226" s="1"/>
      <c r="AD226" s="1"/>
      <c r="AE226" s="1"/>
      <c r="AF226" s="1"/>
      <c r="AG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S227" s="1"/>
      <c r="T227" s="1"/>
      <c r="U227" s="1"/>
      <c r="V227" s="1"/>
      <c r="W227" s="1"/>
      <c r="X227" s="1"/>
      <c r="AB227" s="1"/>
      <c r="AC227" s="1"/>
      <c r="AD227" s="1"/>
      <c r="AE227" s="1"/>
      <c r="AF227" s="1"/>
      <c r="AG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S228" s="1"/>
      <c r="T228" s="1"/>
      <c r="U228" s="1"/>
      <c r="V228" s="1"/>
      <c r="W228" s="1"/>
      <c r="X228" s="1"/>
      <c r="AB228" s="1"/>
      <c r="AC228" s="1"/>
      <c r="AD228" s="1"/>
      <c r="AE228" s="1"/>
      <c r="AF228" s="1"/>
      <c r="AG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S229" s="1"/>
      <c r="T229" s="1"/>
      <c r="U229" s="1"/>
      <c r="V229" s="1"/>
      <c r="W229" s="1"/>
      <c r="X229" s="1"/>
      <c r="AB229" s="1"/>
      <c r="AC229" s="1"/>
      <c r="AD229" s="1"/>
      <c r="AE229" s="1"/>
      <c r="AF229" s="1"/>
      <c r="AG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S230" s="1"/>
      <c r="T230" s="1"/>
      <c r="U230" s="1"/>
      <c r="V230" s="1"/>
      <c r="W230" s="1"/>
      <c r="X230" s="1"/>
      <c r="AB230" s="1"/>
      <c r="AC230" s="1"/>
      <c r="AD230" s="1"/>
      <c r="AE230" s="1"/>
      <c r="AF230" s="1"/>
      <c r="AG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S231" s="1"/>
      <c r="T231" s="1"/>
      <c r="U231" s="1"/>
      <c r="V231" s="1"/>
      <c r="W231" s="1"/>
      <c r="X231" s="1"/>
      <c r="AB231" s="1"/>
      <c r="AC231" s="1"/>
      <c r="AD231" s="1"/>
      <c r="AE231" s="1"/>
      <c r="AF231" s="1"/>
      <c r="AG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S232" s="1"/>
      <c r="T232" s="1"/>
      <c r="U232" s="1"/>
      <c r="V232" s="1"/>
      <c r="W232" s="1"/>
      <c r="X232" s="1"/>
      <c r="AB232" s="1"/>
      <c r="AC232" s="1"/>
      <c r="AD232" s="1"/>
      <c r="AE232" s="1"/>
      <c r="AF232" s="1"/>
      <c r="AG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S233" s="1"/>
      <c r="T233" s="1"/>
      <c r="U233" s="1"/>
      <c r="V233" s="1"/>
      <c r="W233" s="1"/>
      <c r="X233" s="1"/>
      <c r="AB233" s="1"/>
      <c r="AC233" s="1"/>
      <c r="AD233" s="1"/>
      <c r="AE233" s="1"/>
      <c r="AF233" s="1"/>
      <c r="AG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S234" s="1"/>
      <c r="T234" s="1"/>
      <c r="U234" s="1"/>
      <c r="V234" s="1"/>
      <c r="W234" s="1"/>
      <c r="X234" s="1"/>
      <c r="AB234" s="1"/>
      <c r="AC234" s="1"/>
      <c r="AD234" s="1"/>
      <c r="AE234" s="1"/>
      <c r="AF234" s="1"/>
      <c r="AG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S235" s="1"/>
      <c r="T235" s="1"/>
      <c r="U235" s="1"/>
      <c r="V235" s="1"/>
      <c r="W235" s="1"/>
      <c r="X235" s="1"/>
      <c r="AB235" s="1"/>
      <c r="AC235" s="1"/>
      <c r="AD235" s="1"/>
      <c r="AE235" s="1"/>
      <c r="AF235" s="1"/>
      <c r="AG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S236" s="1"/>
      <c r="T236" s="1"/>
      <c r="U236" s="1"/>
      <c r="V236" s="1"/>
      <c r="W236" s="1"/>
      <c r="X236" s="1"/>
      <c r="AB236" s="1"/>
      <c r="AC236" s="1"/>
      <c r="AD236" s="1"/>
      <c r="AE236" s="1"/>
      <c r="AF236" s="1"/>
      <c r="AG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S237" s="1"/>
      <c r="T237" s="1"/>
      <c r="U237" s="1"/>
      <c r="V237" s="1"/>
      <c r="W237" s="1"/>
      <c r="X237" s="1"/>
      <c r="AB237" s="1"/>
      <c r="AC237" s="1"/>
      <c r="AD237" s="1"/>
      <c r="AE237" s="1"/>
      <c r="AF237" s="1"/>
      <c r="AG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S238" s="1"/>
      <c r="T238" s="1"/>
      <c r="U238" s="1"/>
      <c r="V238" s="1"/>
      <c r="W238" s="1"/>
      <c r="X238" s="1"/>
      <c r="AB238" s="1"/>
      <c r="AC238" s="1"/>
      <c r="AD238" s="1"/>
      <c r="AE238" s="1"/>
      <c r="AF238" s="1"/>
      <c r="AG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S239" s="1"/>
      <c r="T239" s="1"/>
      <c r="U239" s="1"/>
      <c r="V239" s="1"/>
      <c r="W239" s="1"/>
      <c r="X239" s="1"/>
      <c r="AB239" s="1"/>
      <c r="AC239" s="1"/>
      <c r="AD239" s="1"/>
      <c r="AE239" s="1"/>
      <c r="AF239" s="1"/>
      <c r="AG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S240" s="1"/>
      <c r="T240" s="1"/>
      <c r="U240" s="1"/>
      <c r="V240" s="1"/>
      <c r="W240" s="1"/>
      <c r="X240" s="1"/>
      <c r="AB240" s="1"/>
      <c r="AC240" s="1"/>
      <c r="AD240" s="1"/>
      <c r="AE240" s="1"/>
      <c r="AF240" s="1"/>
      <c r="AG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S241" s="1"/>
      <c r="T241" s="1"/>
      <c r="U241" s="1"/>
      <c r="V241" s="1"/>
      <c r="W241" s="1"/>
      <c r="X241" s="1"/>
      <c r="AB241" s="1"/>
      <c r="AC241" s="1"/>
      <c r="AD241" s="1"/>
      <c r="AE241" s="1"/>
      <c r="AF241" s="1"/>
      <c r="AG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S242" s="1"/>
      <c r="T242" s="1"/>
      <c r="U242" s="1"/>
      <c r="V242" s="1"/>
      <c r="W242" s="1"/>
      <c r="X242" s="1"/>
      <c r="AB242" s="1"/>
      <c r="AC242" s="1"/>
      <c r="AD242" s="1"/>
      <c r="AE242" s="1"/>
      <c r="AF242" s="1"/>
      <c r="AG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S243" s="1"/>
      <c r="T243" s="1"/>
      <c r="U243" s="1"/>
      <c r="V243" s="1"/>
      <c r="W243" s="1"/>
      <c r="X243" s="1"/>
      <c r="AB243" s="1"/>
      <c r="AC243" s="1"/>
      <c r="AD243" s="1"/>
      <c r="AE243" s="1"/>
      <c r="AF243" s="1"/>
      <c r="AG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S244" s="1"/>
      <c r="T244" s="1"/>
      <c r="U244" s="1"/>
      <c r="V244" s="1"/>
      <c r="W244" s="1"/>
      <c r="X244" s="1"/>
      <c r="AB244" s="1"/>
      <c r="AC244" s="1"/>
      <c r="AD244" s="1"/>
      <c r="AE244" s="1"/>
      <c r="AF244" s="1"/>
      <c r="AG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S245" s="1"/>
      <c r="T245" s="1"/>
      <c r="U245" s="1"/>
      <c r="V245" s="1"/>
      <c r="W245" s="1"/>
      <c r="X245" s="1"/>
      <c r="AB245" s="1"/>
      <c r="AC245" s="1"/>
      <c r="AD245" s="1"/>
      <c r="AE245" s="1"/>
      <c r="AF245" s="1"/>
      <c r="AG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S246" s="1"/>
      <c r="T246" s="1"/>
      <c r="U246" s="1"/>
      <c r="V246" s="1"/>
      <c r="W246" s="1"/>
      <c r="X246" s="1"/>
      <c r="AB246" s="1"/>
      <c r="AC246" s="1"/>
      <c r="AD246" s="1"/>
      <c r="AE246" s="1"/>
      <c r="AF246" s="1"/>
      <c r="AG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S247" s="1"/>
      <c r="T247" s="1"/>
      <c r="U247" s="1"/>
      <c r="V247" s="1"/>
      <c r="W247" s="1"/>
      <c r="X247" s="1"/>
      <c r="AB247" s="1"/>
      <c r="AC247" s="1"/>
      <c r="AD247" s="1"/>
      <c r="AE247" s="1"/>
      <c r="AF247" s="1"/>
      <c r="AG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S248" s="1"/>
      <c r="T248" s="1"/>
      <c r="U248" s="1"/>
      <c r="V248" s="1"/>
      <c r="W248" s="1"/>
      <c r="X248" s="1"/>
      <c r="AB248" s="1"/>
      <c r="AC248" s="1"/>
      <c r="AD248" s="1"/>
      <c r="AE248" s="1"/>
      <c r="AF248" s="1"/>
      <c r="AG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S249" s="1"/>
      <c r="T249" s="1"/>
      <c r="U249" s="1"/>
      <c r="V249" s="1"/>
      <c r="W249" s="1"/>
      <c r="X249" s="1"/>
      <c r="AB249" s="1"/>
      <c r="AC249" s="1"/>
      <c r="AD249" s="1"/>
      <c r="AE249" s="1"/>
      <c r="AF249" s="1"/>
      <c r="AG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S250" s="1"/>
      <c r="T250" s="1"/>
      <c r="U250" s="1"/>
      <c r="V250" s="1"/>
      <c r="W250" s="1"/>
      <c r="X250" s="1"/>
      <c r="AB250" s="1"/>
      <c r="AC250" s="1"/>
      <c r="AD250" s="1"/>
      <c r="AE250" s="1"/>
      <c r="AF250" s="1"/>
      <c r="AG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S251" s="1"/>
      <c r="T251" s="1"/>
      <c r="U251" s="1"/>
      <c r="V251" s="1"/>
      <c r="W251" s="1"/>
      <c r="X251" s="1"/>
      <c r="AB251" s="1"/>
      <c r="AC251" s="1"/>
      <c r="AD251" s="1"/>
      <c r="AE251" s="1"/>
      <c r="AF251" s="1"/>
      <c r="AG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S252" s="1"/>
      <c r="T252" s="1"/>
      <c r="U252" s="1"/>
      <c r="V252" s="1"/>
      <c r="W252" s="1"/>
      <c r="X252" s="1"/>
      <c r="AB252" s="1"/>
      <c r="AC252" s="1"/>
      <c r="AD252" s="1"/>
      <c r="AE252" s="1"/>
      <c r="AF252" s="1"/>
      <c r="AG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S253" s="1"/>
      <c r="T253" s="1"/>
      <c r="U253" s="1"/>
      <c r="V253" s="1"/>
      <c r="W253" s="1"/>
      <c r="X253" s="1"/>
      <c r="AB253" s="1"/>
      <c r="AC253" s="1"/>
      <c r="AD253" s="1"/>
      <c r="AE253" s="1"/>
      <c r="AF253" s="1"/>
      <c r="AG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S254" s="1"/>
      <c r="T254" s="1"/>
      <c r="U254" s="1"/>
      <c r="V254" s="1"/>
      <c r="W254" s="1"/>
      <c r="X254" s="1"/>
      <c r="AB254" s="1"/>
      <c r="AC254" s="1"/>
      <c r="AD254" s="1"/>
      <c r="AE254" s="1"/>
      <c r="AF254" s="1"/>
      <c r="AG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S255" s="1"/>
      <c r="T255" s="1"/>
      <c r="U255" s="1"/>
      <c r="V255" s="1"/>
      <c r="W255" s="1"/>
      <c r="X255" s="1"/>
      <c r="AB255" s="1"/>
      <c r="AC255" s="1"/>
      <c r="AD255" s="1"/>
      <c r="AE255" s="1"/>
      <c r="AF255" s="1"/>
      <c r="AG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S256" s="1"/>
      <c r="T256" s="1"/>
      <c r="U256" s="1"/>
      <c r="V256" s="1"/>
      <c r="W256" s="1"/>
      <c r="X256" s="1"/>
      <c r="AB256" s="1"/>
      <c r="AC256" s="1"/>
      <c r="AD256" s="1"/>
      <c r="AE256" s="1"/>
      <c r="AF256" s="1"/>
      <c r="AG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S257" s="1"/>
      <c r="T257" s="1"/>
      <c r="U257" s="1"/>
      <c r="V257" s="1"/>
      <c r="W257" s="1"/>
      <c r="X257" s="1"/>
      <c r="AB257" s="1"/>
      <c r="AC257" s="1"/>
      <c r="AD257" s="1"/>
      <c r="AE257" s="1"/>
      <c r="AF257" s="1"/>
      <c r="AG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S258" s="1"/>
      <c r="T258" s="1"/>
      <c r="U258" s="1"/>
      <c r="V258" s="1"/>
      <c r="W258" s="1"/>
      <c r="X258" s="1"/>
      <c r="AB258" s="1"/>
      <c r="AC258" s="1"/>
      <c r="AD258" s="1"/>
      <c r="AE258" s="1"/>
      <c r="AF258" s="1"/>
      <c r="AG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S259" s="1"/>
      <c r="T259" s="1"/>
      <c r="U259" s="1"/>
      <c r="V259" s="1"/>
      <c r="W259" s="1"/>
      <c r="X259" s="1"/>
      <c r="AB259" s="1"/>
      <c r="AC259" s="1"/>
      <c r="AD259" s="1"/>
      <c r="AE259" s="1"/>
      <c r="AF259" s="1"/>
      <c r="AG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S260" s="1"/>
      <c r="T260" s="1"/>
      <c r="U260" s="1"/>
      <c r="V260" s="1"/>
      <c r="W260" s="1"/>
      <c r="X260" s="1"/>
      <c r="AB260" s="1"/>
      <c r="AC260" s="1"/>
      <c r="AD260" s="1"/>
      <c r="AE260" s="1"/>
      <c r="AF260" s="1"/>
      <c r="AG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S261" s="1"/>
      <c r="T261" s="1"/>
      <c r="U261" s="1"/>
      <c r="V261" s="1"/>
      <c r="W261" s="1"/>
      <c r="X261" s="1"/>
      <c r="AB261" s="1"/>
      <c r="AC261" s="1"/>
      <c r="AD261" s="1"/>
      <c r="AE261" s="1"/>
      <c r="AF261" s="1"/>
      <c r="AG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S262" s="1"/>
      <c r="T262" s="1"/>
      <c r="U262" s="1"/>
      <c r="V262" s="1"/>
      <c r="W262" s="1"/>
      <c r="X262" s="1"/>
      <c r="AB262" s="1"/>
      <c r="AC262" s="1"/>
      <c r="AD262" s="1"/>
      <c r="AE262" s="1"/>
      <c r="AF262" s="1"/>
      <c r="AG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S263" s="1"/>
      <c r="T263" s="1"/>
      <c r="U263" s="1"/>
      <c r="V263" s="1"/>
      <c r="W263" s="1"/>
      <c r="X263" s="1"/>
      <c r="AB263" s="1"/>
      <c r="AC263" s="1"/>
      <c r="AD263" s="1"/>
      <c r="AE263" s="1"/>
      <c r="AF263" s="1"/>
      <c r="AG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S264" s="1"/>
      <c r="T264" s="1"/>
      <c r="U264" s="1"/>
      <c r="V264" s="1"/>
      <c r="W264" s="1"/>
      <c r="X264" s="1"/>
      <c r="AB264" s="1"/>
      <c r="AC264" s="1"/>
      <c r="AD264" s="1"/>
      <c r="AE264" s="1"/>
      <c r="AF264" s="1"/>
      <c r="AG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S265" s="1"/>
      <c r="T265" s="1"/>
      <c r="U265" s="1"/>
      <c r="V265" s="1"/>
      <c r="W265" s="1"/>
      <c r="X265" s="1"/>
      <c r="AB265" s="1"/>
      <c r="AC265" s="1"/>
      <c r="AD265" s="1"/>
      <c r="AE265" s="1"/>
      <c r="AF265" s="1"/>
      <c r="AG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S266" s="1"/>
      <c r="T266" s="1"/>
      <c r="U266" s="1"/>
      <c r="V266" s="1"/>
      <c r="W266" s="1"/>
      <c r="X266" s="1"/>
      <c r="AB266" s="1"/>
      <c r="AC266" s="1"/>
      <c r="AD266" s="1"/>
      <c r="AE266" s="1"/>
      <c r="AF266" s="1"/>
      <c r="AG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S267" s="1"/>
      <c r="T267" s="1"/>
      <c r="U267" s="1"/>
      <c r="V267" s="1"/>
      <c r="W267" s="1"/>
      <c r="X267" s="1"/>
      <c r="AB267" s="1"/>
      <c r="AC267" s="1"/>
      <c r="AD267" s="1"/>
      <c r="AE267" s="1"/>
      <c r="AF267" s="1"/>
      <c r="AG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S268" s="1"/>
      <c r="T268" s="1"/>
      <c r="U268" s="1"/>
      <c r="V268" s="1"/>
      <c r="W268" s="1"/>
      <c r="X268" s="1"/>
      <c r="AB268" s="1"/>
      <c r="AC268" s="1"/>
      <c r="AD268" s="1"/>
      <c r="AE268" s="1"/>
      <c r="AF268" s="1"/>
      <c r="AG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S269" s="1"/>
      <c r="T269" s="1"/>
      <c r="U269" s="1"/>
      <c r="V269" s="1"/>
      <c r="W269" s="1"/>
      <c r="X269" s="1"/>
      <c r="AB269" s="1"/>
      <c r="AC269" s="1"/>
      <c r="AD269" s="1"/>
      <c r="AE269" s="1"/>
      <c r="AF269" s="1"/>
      <c r="AG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S270" s="1"/>
      <c r="T270" s="1"/>
      <c r="U270" s="1"/>
      <c r="V270" s="1"/>
      <c r="W270" s="1"/>
      <c r="X270" s="1"/>
      <c r="AB270" s="1"/>
      <c r="AC270" s="1"/>
      <c r="AD270" s="1"/>
      <c r="AE270" s="1"/>
      <c r="AF270" s="1"/>
      <c r="AG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S271" s="1"/>
      <c r="T271" s="1"/>
      <c r="U271" s="1"/>
      <c r="V271" s="1"/>
      <c r="W271" s="1"/>
      <c r="X271" s="1"/>
      <c r="AB271" s="1"/>
      <c r="AC271" s="1"/>
      <c r="AD271" s="1"/>
      <c r="AE271" s="1"/>
      <c r="AF271" s="1"/>
      <c r="AG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S272" s="1"/>
      <c r="T272" s="1"/>
      <c r="U272" s="1"/>
      <c r="V272" s="1"/>
      <c r="W272" s="1"/>
      <c r="X272" s="1"/>
      <c r="AB272" s="1"/>
      <c r="AC272" s="1"/>
      <c r="AD272" s="1"/>
      <c r="AE272" s="1"/>
      <c r="AF272" s="1"/>
      <c r="AG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S273" s="1"/>
      <c r="T273" s="1"/>
      <c r="U273" s="1"/>
      <c r="V273" s="1"/>
      <c r="W273" s="1"/>
      <c r="X273" s="1"/>
      <c r="AB273" s="1"/>
      <c r="AC273" s="1"/>
      <c r="AD273" s="1"/>
      <c r="AE273" s="1"/>
      <c r="AF273" s="1"/>
      <c r="AG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S274" s="1"/>
      <c r="T274" s="1"/>
      <c r="U274" s="1"/>
      <c r="V274" s="1"/>
      <c r="W274" s="1"/>
      <c r="X274" s="1"/>
      <c r="AB274" s="1"/>
      <c r="AC274" s="1"/>
      <c r="AD274" s="1"/>
      <c r="AE274" s="1"/>
      <c r="AF274" s="1"/>
      <c r="AG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S275" s="1"/>
      <c r="T275" s="1"/>
      <c r="U275" s="1"/>
      <c r="V275" s="1"/>
      <c r="W275" s="1"/>
      <c r="X275" s="1"/>
      <c r="AB275" s="1"/>
      <c r="AC275" s="1"/>
      <c r="AD275" s="1"/>
      <c r="AE275" s="1"/>
      <c r="AF275" s="1"/>
      <c r="AG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S276" s="1"/>
      <c r="T276" s="1"/>
      <c r="U276" s="1"/>
      <c r="V276" s="1"/>
      <c r="W276" s="1"/>
      <c r="X276" s="1"/>
      <c r="AB276" s="1"/>
      <c r="AC276" s="1"/>
      <c r="AD276" s="1"/>
      <c r="AE276" s="1"/>
      <c r="AF276" s="1"/>
      <c r="AG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S277" s="1"/>
      <c r="T277" s="1"/>
      <c r="U277" s="1"/>
      <c r="V277" s="1"/>
      <c r="W277" s="1"/>
      <c r="X277" s="1"/>
      <c r="AB277" s="1"/>
      <c r="AC277" s="1"/>
      <c r="AD277" s="1"/>
      <c r="AE277" s="1"/>
      <c r="AF277" s="1"/>
      <c r="AG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S278" s="1"/>
      <c r="T278" s="1"/>
      <c r="U278" s="1"/>
      <c r="V278" s="1"/>
      <c r="W278" s="1"/>
      <c r="X278" s="1"/>
      <c r="AB278" s="1"/>
      <c r="AC278" s="1"/>
      <c r="AD278" s="1"/>
      <c r="AE278" s="1"/>
      <c r="AF278" s="1"/>
      <c r="AG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S279" s="1"/>
      <c r="T279" s="1"/>
      <c r="U279" s="1"/>
      <c r="V279" s="1"/>
      <c r="W279" s="1"/>
      <c r="X279" s="1"/>
      <c r="AB279" s="1"/>
      <c r="AC279" s="1"/>
      <c r="AD279" s="1"/>
      <c r="AE279" s="1"/>
      <c r="AF279" s="1"/>
      <c r="AG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S280" s="1"/>
      <c r="T280" s="1"/>
      <c r="U280" s="1"/>
      <c r="V280" s="1"/>
      <c r="W280" s="1"/>
      <c r="X280" s="1"/>
      <c r="AB280" s="1"/>
      <c r="AC280" s="1"/>
      <c r="AD280" s="1"/>
      <c r="AE280" s="1"/>
      <c r="AF280" s="1"/>
      <c r="AG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S281" s="1"/>
      <c r="T281" s="1"/>
      <c r="U281" s="1"/>
      <c r="V281" s="1"/>
      <c r="W281" s="1"/>
      <c r="X281" s="1"/>
      <c r="AB281" s="1"/>
      <c r="AC281" s="1"/>
      <c r="AD281" s="1"/>
      <c r="AE281" s="1"/>
      <c r="AF281" s="1"/>
      <c r="AG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S282" s="1"/>
      <c r="T282" s="1"/>
      <c r="U282" s="1"/>
      <c r="V282" s="1"/>
      <c r="W282" s="1"/>
      <c r="X282" s="1"/>
      <c r="AB282" s="1"/>
      <c r="AC282" s="1"/>
      <c r="AD282" s="1"/>
      <c r="AE282" s="1"/>
      <c r="AF282" s="1"/>
      <c r="AG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S283" s="1"/>
      <c r="T283" s="1"/>
      <c r="U283" s="1"/>
      <c r="V283" s="1"/>
      <c r="W283" s="1"/>
      <c r="X283" s="1"/>
      <c r="AB283" s="1"/>
      <c r="AC283" s="1"/>
      <c r="AD283" s="1"/>
      <c r="AE283" s="1"/>
      <c r="AF283" s="1"/>
      <c r="AG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S284" s="1"/>
      <c r="T284" s="1"/>
      <c r="U284" s="1"/>
      <c r="V284" s="1"/>
      <c r="W284" s="1"/>
      <c r="X284" s="1"/>
      <c r="AB284" s="1"/>
      <c r="AC284" s="1"/>
      <c r="AD284" s="1"/>
      <c r="AE284" s="1"/>
      <c r="AF284" s="1"/>
      <c r="AG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S285" s="1"/>
      <c r="T285" s="1"/>
      <c r="U285" s="1"/>
      <c r="V285" s="1"/>
      <c r="W285" s="1"/>
      <c r="X285" s="1"/>
      <c r="AB285" s="1"/>
      <c r="AC285" s="1"/>
      <c r="AD285" s="1"/>
      <c r="AE285" s="1"/>
      <c r="AF285" s="1"/>
      <c r="AG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S286" s="1"/>
      <c r="T286" s="1"/>
      <c r="U286" s="1"/>
      <c r="V286" s="1"/>
      <c r="W286" s="1"/>
      <c r="X286" s="1"/>
      <c r="AB286" s="1"/>
      <c r="AC286" s="1"/>
      <c r="AD286" s="1"/>
      <c r="AE286" s="1"/>
      <c r="AF286" s="1"/>
      <c r="AG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S287" s="1"/>
      <c r="T287" s="1"/>
      <c r="U287" s="1"/>
      <c r="V287" s="1"/>
      <c r="W287" s="1"/>
      <c r="X287" s="1"/>
      <c r="AB287" s="1"/>
      <c r="AC287" s="1"/>
      <c r="AD287" s="1"/>
      <c r="AE287" s="1"/>
      <c r="AF287" s="1"/>
      <c r="AG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S288" s="1"/>
      <c r="T288" s="1"/>
      <c r="U288" s="1"/>
      <c r="V288" s="1"/>
      <c r="W288" s="1"/>
      <c r="X288" s="1"/>
      <c r="AB288" s="1"/>
      <c r="AC288" s="1"/>
      <c r="AD288" s="1"/>
      <c r="AE288" s="1"/>
      <c r="AF288" s="1"/>
      <c r="AG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S289" s="1"/>
      <c r="T289" s="1"/>
      <c r="U289" s="1"/>
      <c r="V289" s="1"/>
      <c r="W289" s="1"/>
      <c r="X289" s="1"/>
      <c r="AB289" s="1"/>
      <c r="AC289" s="1"/>
      <c r="AD289" s="1"/>
      <c r="AE289" s="1"/>
      <c r="AF289" s="1"/>
      <c r="AG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S290" s="1"/>
      <c r="T290" s="1"/>
      <c r="U290" s="1"/>
      <c r="V290" s="1"/>
      <c r="W290" s="1"/>
      <c r="X290" s="1"/>
      <c r="AB290" s="1"/>
      <c r="AC290" s="1"/>
      <c r="AD290" s="1"/>
      <c r="AE290" s="1"/>
      <c r="AF290" s="1"/>
      <c r="AG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S291" s="1"/>
      <c r="T291" s="1"/>
      <c r="U291" s="1"/>
      <c r="V291" s="1"/>
      <c r="W291" s="1"/>
      <c r="X291" s="1"/>
      <c r="AB291" s="1"/>
      <c r="AC291" s="1"/>
      <c r="AD291" s="1"/>
      <c r="AE291" s="1"/>
      <c r="AF291" s="1"/>
      <c r="AG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S292" s="1"/>
      <c r="T292" s="1"/>
      <c r="U292" s="1"/>
      <c r="V292" s="1"/>
      <c r="W292" s="1"/>
      <c r="X292" s="1"/>
      <c r="AB292" s="1"/>
      <c r="AC292" s="1"/>
      <c r="AD292" s="1"/>
      <c r="AE292" s="1"/>
      <c r="AF292" s="1"/>
      <c r="AG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S293" s="1"/>
      <c r="T293" s="1"/>
      <c r="U293" s="1"/>
      <c r="V293" s="1"/>
      <c r="W293" s="1"/>
      <c r="X293" s="1"/>
      <c r="AB293" s="1"/>
      <c r="AC293" s="1"/>
      <c r="AD293" s="1"/>
      <c r="AE293" s="1"/>
      <c r="AF293" s="1"/>
      <c r="AG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S294" s="1"/>
      <c r="T294" s="1"/>
      <c r="U294" s="1"/>
      <c r="V294" s="1"/>
      <c r="W294" s="1"/>
      <c r="X294" s="1"/>
      <c r="AB294" s="1"/>
      <c r="AC294" s="1"/>
      <c r="AD294" s="1"/>
      <c r="AE294" s="1"/>
      <c r="AF294" s="1"/>
      <c r="AG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S295" s="1"/>
      <c r="T295" s="1"/>
      <c r="U295" s="1"/>
      <c r="V295" s="1"/>
      <c r="W295" s="1"/>
      <c r="X295" s="1"/>
      <c r="AB295" s="1"/>
      <c r="AC295" s="1"/>
      <c r="AD295" s="1"/>
      <c r="AE295" s="1"/>
      <c r="AF295" s="1"/>
      <c r="AG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S296" s="1"/>
      <c r="T296" s="1"/>
      <c r="U296" s="1"/>
      <c r="V296" s="1"/>
      <c r="W296" s="1"/>
      <c r="X296" s="1"/>
      <c r="AB296" s="1"/>
      <c r="AC296" s="1"/>
      <c r="AD296" s="1"/>
      <c r="AE296" s="1"/>
      <c r="AF296" s="1"/>
      <c r="AG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S297" s="1"/>
      <c r="T297" s="1"/>
      <c r="U297" s="1"/>
      <c r="V297" s="1"/>
      <c r="W297" s="1"/>
      <c r="X297" s="1"/>
      <c r="AB297" s="1"/>
      <c r="AC297" s="1"/>
      <c r="AD297" s="1"/>
      <c r="AE297" s="1"/>
      <c r="AF297" s="1"/>
      <c r="AG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S298" s="1"/>
      <c r="T298" s="1"/>
      <c r="U298" s="1"/>
      <c r="V298" s="1"/>
      <c r="W298" s="1"/>
      <c r="X298" s="1"/>
      <c r="AB298" s="1"/>
      <c r="AC298" s="1"/>
      <c r="AD298" s="1"/>
      <c r="AE298" s="1"/>
      <c r="AF298" s="1"/>
      <c r="AG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S299" s="1"/>
      <c r="T299" s="1"/>
      <c r="U299" s="1"/>
      <c r="V299" s="1"/>
      <c r="W299" s="1"/>
      <c r="X299" s="1"/>
      <c r="AB299" s="1"/>
      <c r="AC299" s="1"/>
      <c r="AD299" s="1"/>
      <c r="AE299" s="1"/>
      <c r="AF299" s="1"/>
      <c r="AG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S300" s="1"/>
      <c r="T300" s="1"/>
      <c r="U300" s="1"/>
      <c r="V300" s="1"/>
      <c r="W300" s="1"/>
      <c r="X300" s="1"/>
      <c r="AB300" s="1"/>
      <c r="AC300" s="1"/>
      <c r="AD300" s="1"/>
      <c r="AE300" s="1"/>
      <c r="AF300" s="1"/>
      <c r="AG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S301" s="1"/>
      <c r="T301" s="1"/>
      <c r="U301" s="1"/>
      <c r="V301" s="1"/>
      <c r="W301" s="1"/>
      <c r="X301" s="1"/>
      <c r="AB301" s="1"/>
      <c r="AC301" s="1"/>
      <c r="AD301" s="1"/>
      <c r="AE301" s="1"/>
      <c r="AF301" s="1"/>
      <c r="AG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S302" s="1"/>
      <c r="T302" s="1"/>
      <c r="U302" s="1"/>
      <c r="V302" s="1"/>
      <c r="W302" s="1"/>
      <c r="X302" s="1"/>
      <c r="AB302" s="1"/>
      <c r="AC302" s="1"/>
      <c r="AD302" s="1"/>
      <c r="AE302" s="1"/>
      <c r="AF302" s="1"/>
      <c r="AG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S303" s="1"/>
      <c r="T303" s="1"/>
      <c r="U303" s="1"/>
      <c r="V303" s="1"/>
      <c r="W303" s="1"/>
      <c r="X303" s="1"/>
      <c r="AB303" s="1"/>
      <c r="AC303" s="1"/>
      <c r="AD303" s="1"/>
      <c r="AE303" s="1"/>
      <c r="AF303" s="1"/>
      <c r="AG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S304" s="1"/>
      <c r="T304" s="1"/>
      <c r="U304" s="1"/>
      <c r="V304" s="1"/>
      <c r="W304" s="1"/>
      <c r="X304" s="1"/>
      <c r="AB304" s="1"/>
      <c r="AC304" s="1"/>
      <c r="AD304" s="1"/>
      <c r="AE304" s="1"/>
      <c r="AF304" s="1"/>
      <c r="AG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S305" s="1"/>
      <c r="T305" s="1"/>
      <c r="U305" s="1"/>
      <c r="V305" s="1"/>
      <c r="W305" s="1"/>
      <c r="X305" s="1"/>
      <c r="AB305" s="1"/>
      <c r="AC305" s="1"/>
      <c r="AD305" s="1"/>
      <c r="AE305" s="1"/>
      <c r="AF305" s="1"/>
      <c r="AG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S306" s="1"/>
      <c r="T306" s="1"/>
      <c r="U306" s="1"/>
      <c r="V306" s="1"/>
      <c r="W306" s="1"/>
      <c r="X306" s="1"/>
      <c r="AB306" s="1"/>
      <c r="AC306" s="1"/>
      <c r="AD306" s="1"/>
      <c r="AE306" s="1"/>
      <c r="AF306" s="1"/>
      <c r="AG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S307" s="1"/>
      <c r="T307" s="1"/>
      <c r="U307" s="1"/>
      <c r="V307" s="1"/>
      <c r="W307" s="1"/>
      <c r="X307" s="1"/>
      <c r="AB307" s="1"/>
      <c r="AC307" s="1"/>
      <c r="AD307" s="1"/>
      <c r="AE307" s="1"/>
      <c r="AF307" s="1"/>
      <c r="AG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S308" s="1"/>
      <c r="T308" s="1"/>
      <c r="U308" s="1"/>
      <c r="V308" s="1"/>
      <c r="W308" s="1"/>
      <c r="X308" s="1"/>
      <c r="AB308" s="1"/>
      <c r="AC308" s="1"/>
      <c r="AD308" s="1"/>
      <c r="AE308" s="1"/>
      <c r="AF308" s="1"/>
      <c r="AG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S309" s="1"/>
      <c r="T309" s="1"/>
      <c r="U309" s="1"/>
      <c r="V309" s="1"/>
      <c r="W309" s="1"/>
      <c r="X309" s="1"/>
      <c r="AB309" s="1"/>
      <c r="AC309" s="1"/>
      <c r="AD309" s="1"/>
      <c r="AE309" s="1"/>
      <c r="AF309" s="1"/>
      <c r="AG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S310" s="1"/>
      <c r="T310" s="1"/>
      <c r="U310" s="1"/>
      <c r="V310" s="1"/>
      <c r="W310" s="1"/>
      <c r="X310" s="1"/>
      <c r="AB310" s="1"/>
      <c r="AC310" s="1"/>
      <c r="AD310" s="1"/>
      <c r="AE310" s="1"/>
      <c r="AF310" s="1"/>
      <c r="AG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S311" s="1"/>
      <c r="T311" s="1"/>
      <c r="U311" s="1"/>
      <c r="V311" s="1"/>
      <c r="W311" s="1"/>
      <c r="X311" s="1"/>
      <c r="AB311" s="1"/>
      <c r="AC311" s="1"/>
      <c r="AD311" s="1"/>
      <c r="AE311" s="1"/>
      <c r="AF311" s="1"/>
      <c r="AG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S312" s="1"/>
      <c r="T312" s="1"/>
      <c r="U312" s="1"/>
      <c r="V312" s="1"/>
      <c r="W312" s="1"/>
      <c r="X312" s="1"/>
      <c r="AB312" s="1"/>
      <c r="AC312" s="1"/>
      <c r="AD312" s="1"/>
      <c r="AE312" s="1"/>
      <c r="AF312" s="1"/>
      <c r="AG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S313" s="1"/>
      <c r="T313" s="1"/>
      <c r="U313" s="1"/>
      <c r="V313" s="1"/>
      <c r="W313" s="1"/>
      <c r="X313" s="1"/>
      <c r="AB313" s="1"/>
      <c r="AC313" s="1"/>
      <c r="AD313" s="1"/>
      <c r="AE313" s="1"/>
      <c r="AF313" s="1"/>
      <c r="AG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S314" s="1"/>
      <c r="T314" s="1"/>
      <c r="U314" s="1"/>
      <c r="V314" s="1"/>
      <c r="W314" s="1"/>
      <c r="X314" s="1"/>
      <c r="AB314" s="1"/>
      <c r="AC314" s="1"/>
      <c r="AD314" s="1"/>
      <c r="AE314" s="1"/>
      <c r="AF314" s="1"/>
      <c r="AG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S315" s="1"/>
      <c r="T315" s="1"/>
      <c r="U315" s="1"/>
      <c r="V315" s="1"/>
      <c r="W315" s="1"/>
      <c r="X315" s="1"/>
      <c r="AB315" s="1"/>
      <c r="AC315" s="1"/>
      <c r="AD315" s="1"/>
      <c r="AE315" s="1"/>
      <c r="AF315" s="1"/>
      <c r="AG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S316" s="1"/>
      <c r="T316" s="1"/>
      <c r="U316" s="1"/>
      <c r="V316" s="1"/>
      <c r="W316" s="1"/>
      <c r="X316" s="1"/>
      <c r="AB316" s="1"/>
      <c r="AC316" s="1"/>
      <c r="AD316" s="1"/>
      <c r="AE316" s="1"/>
      <c r="AF316" s="1"/>
      <c r="AG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S317" s="1"/>
      <c r="T317" s="1"/>
      <c r="U317" s="1"/>
      <c r="V317" s="1"/>
      <c r="W317" s="1"/>
      <c r="X317" s="1"/>
      <c r="AB317" s="1"/>
      <c r="AC317" s="1"/>
      <c r="AD317" s="1"/>
      <c r="AE317" s="1"/>
      <c r="AF317" s="1"/>
      <c r="AG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S318" s="1"/>
      <c r="T318" s="1"/>
      <c r="U318" s="1"/>
      <c r="V318" s="1"/>
      <c r="W318" s="1"/>
      <c r="X318" s="1"/>
      <c r="AB318" s="1"/>
      <c r="AC318" s="1"/>
      <c r="AD318" s="1"/>
      <c r="AE318" s="1"/>
      <c r="AF318" s="1"/>
      <c r="AG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S319" s="1"/>
      <c r="T319" s="1"/>
      <c r="U319" s="1"/>
      <c r="V319" s="1"/>
      <c r="W319" s="1"/>
      <c r="X319" s="1"/>
      <c r="AB319" s="1"/>
      <c r="AC319" s="1"/>
      <c r="AD319" s="1"/>
      <c r="AE319" s="1"/>
      <c r="AF319" s="1"/>
      <c r="AG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S320" s="1"/>
      <c r="T320" s="1"/>
      <c r="U320" s="1"/>
      <c r="V320" s="1"/>
      <c r="W320" s="1"/>
      <c r="X320" s="1"/>
      <c r="AB320" s="1"/>
      <c r="AC320" s="1"/>
      <c r="AD320" s="1"/>
      <c r="AE320" s="1"/>
      <c r="AF320" s="1"/>
      <c r="AG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S321" s="1"/>
      <c r="T321" s="1"/>
      <c r="U321" s="1"/>
      <c r="V321" s="1"/>
      <c r="W321" s="1"/>
      <c r="X321" s="1"/>
      <c r="AB321" s="1"/>
      <c r="AC321" s="1"/>
      <c r="AD321" s="1"/>
      <c r="AE321" s="1"/>
      <c r="AF321" s="1"/>
      <c r="AG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S322" s="1"/>
      <c r="T322" s="1"/>
      <c r="U322" s="1"/>
      <c r="V322" s="1"/>
      <c r="W322" s="1"/>
      <c r="X322" s="1"/>
      <c r="AB322" s="1"/>
      <c r="AC322" s="1"/>
      <c r="AD322" s="1"/>
      <c r="AE322" s="1"/>
      <c r="AF322" s="1"/>
      <c r="AG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S323" s="1"/>
      <c r="T323" s="1"/>
      <c r="U323" s="1"/>
      <c r="V323" s="1"/>
      <c r="W323" s="1"/>
      <c r="X323" s="1"/>
      <c r="AB323" s="1"/>
      <c r="AC323" s="1"/>
      <c r="AD323" s="1"/>
      <c r="AE323" s="1"/>
      <c r="AF323" s="1"/>
      <c r="AG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S324" s="1"/>
      <c r="T324" s="1"/>
      <c r="U324" s="1"/>
      <c r="V324" s="1"/>
      <c r="W324" s="1"/>
      <c r="X324" s="1"/>
      <c r="AB324" s="1"/>
      <c r="AC324" s="1"/>
      <c r="AD324" s="1"/>
      <c r="AE324" s="1"/>
      <c r="AF324" s="1"/>
      <c r="AG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S325" s="1"/>
      <c r="T325" s="1"/>
      <c r="U325" s="1"/>
      <c r="V325" s="1"/>
      <c r="W325" s="1"/>
      <c r="X325" s="1"/>
      <c r="AB325" s="1"/>
      <c r="AC325" s="1"/>
      <c r="AD325" s="1"/>
      <c r="AE325" s="1"/>
      <c r="AF325" s="1"/>
      <c r="AG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S326" s="1"/>
      <c r="T326" s="1"/>
      <c r="U326" s="1"/>
      <c r="V326" s="1"/>
      <c r="W326" s="1"/>
      <c r="X326" s="1"/>
      <c r="AB326" s="1"/>
      <c r="AC326" s="1"/>
      <c r="AD326" s="1"/>
      <c r="AE326" s="1"/>
      <c r="AF326" s="1"/>
      <c r="AG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S327" s="1"/>
      <c r="T327" s="1"/>
      <c r="U327" s="1"/>
      <c r="V327" s="1"/>
      <c r="W327" s="1"/>
      <c r="X327" s="1"/>
      <c r="AB327" s="1"/>
      <c r="AC327" s="1"/>
      <c r="AD327" s="1"/>
      <c r="AE327" s="1"/>
      <c r="AF327" s="1"/>
      <c r="AG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S328" s="1"/>
      <c r="T328" s="1"/>
      <c r="U328" s="1"/>
      <c r="V328" s="1"/>
      <c r="W328" s="1"/>
      <c r="X328" s="1"/>
      <c r="AB328" s="1"/>
      <c r="AC328" s="1"/>
      <c r="AD328" s="1"/>
      <c r="AE328" s="1"/>
      <c r="AF328" s="1"/>
      <c r="AG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S329" s="1"/>
      <c r="T329" s="1"/>
      <c r="U329" s="1"/>
      <c r="V329" s="1"/>
      <c r="W329" s="1"/>
      <c r="X329" s="1"/>
      <c r="AB329" s="1"/>
      <c r="AC329" s="1"/>
      <c r="AD329" s="1"/>
      <c r="AE329" s="1"/>
      <c r="AF329" s="1"/>
      <c r="AG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S330" s="1"/>
      <c r="T330" s="1"/>
      <c r="U330" s="1"/>
      <c r="V330" s="1"/>
      <c r="W330" s="1"/>
      <c r="X330" s="1"/>
      <c r="AB330" s="1"/>
      <c r="AC330" s="1"/>
      <c r="AD330" s="1"/>
      <c r="AE330" s="1"/>
      <c r="AF330" s="1"/>
      <c r="AG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S331" s="1"/>
      <c r="T331" s="1"/>
      <c r="U331" s="1"/>
      <c r="V331" s="1"/>
      <c r="W331" s="1"/>
      <c r="X331" s="1"/>
      <c r="AB331" s="1"/>
      <c r="AC331" s="1"/>
      <c r="AD331" s="1"/>
      <c r="AE331" s="1"/>
      <c r="AF331" s="1"/>
      <c r="AG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S332" s="1"/>
      <c r="T332" s="1"/>
      <c r="U332" s="1"/>
      <c r="V332" s="1"/>
      <c r="W332" s="1"/>
      <c r="X332" s="1"/>
      <c r="AB332" s="1"/>
      <c r="AC332" s="1"/>
      <c r="AD332" s="1"/>
      <c r="AE332" s="1"/>
      <c r="AF332" s="1"/>
      <c r="AG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S333" s="1"/>
      <c r="T333" s="1"/>
      <c r="U333" s="1"/>
      <c r="V333" s="1"/>
      <c r="W333" s="1"/>
      <c r="X333" s="1"/>
      <c r="AB333" s="1"/>
      <c r="AC333" s="1"/>
      <c r="AD333" s="1"/>
      <c r="AE333" s="1"/>
      <c r="AF333" s="1"/>
      <c r="AG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S334" s="1"/>
      <c r="T334" s="1"/>
      <c r="U334" s="1"/>
      <c r="V334" s="1"/>
      <c r="W334" s="1"/>
      <c r="X334" s="1"/>
      <c r="AB334" s="1"/>
      <c r="AC334" s="1"/>
      <c r="AD334" s="1"/>
      <c r="AE334" s="1"/>
      <c r="AF334" s="1"/>
      <c r="AG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S335" s="1"/>
      <c r="T335" s="1"/>
      <c r="U335" s="1"/>
      <c r="V335" s="1"/>
      <c r="W335" s="1"/>
      <c r="X335" s="1"/>
      <c r="AB335" s="1"/>
      <c r="AC335" s="1"/>
      <c r="AD335" s="1"/>
      <c r="AE335" s="1"/>
      <c r="AF335" s="1"/>
      <c r="AG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S336" s="1"/>
      <c r="T336" s="1"/>
      <c r="U336" s="1"/>
      <c r="V336" s="1"/>
      <c r="W336" s="1"/>
      <c r="X336" s="1"/>
      <c r="AB336" s="1"/>
      <c r="AC336" s="1"/>
      <c r="AD336" s="1"/>
      <c r="AE336" s="1"/>
      <c r="AF336" s="1"/>
      <c r="AG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S337" s="1"/>
      <c r="T337" s="1"/>
      <c r="U337" s="1"/>
      <c r="V337" s="1"/>
      <c r="W337" s="1"/>
      <c r="X337" s="1"/>
      <c r="AB337" s="1"/>
      <c r="AC337" s="1"/>
      <c r="AD337" s="1"/>
      <c r="AE337" s="1"/>
      <c r="AF337" s="1"/>
      <c r="AG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S338" s="1"/>
      <c r="T338" s="1"/>
      <c r="U338" s="1"/>
      <c r="V338" s="1"/>
      <c r="W338" s="1"/>
      <c r="X338" s="1"/>
      <c r="AB338" s="1"/>
      <c r="AC338" s="1"/>
      <c r="AD338" s="1"/>
      <c r="AE338" s="1"/>
      <c r="AF338" s="1"/>
      <c r="AG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S339" s="1"/>
      <c r="T339" s="1"/>
      <c r="U339" s="1"/>
      <c r="V339" s="1"/>
      <c r="W339" s="1"/>
      <c r="X339" s="1"/>
      <c r="AB339" s="1"/>
      <c r="AC339" s="1"/>
      <c r="AD339" s="1"/>
      <c r="AE339" s="1"/>
      <c r="AF339" s="1"/>
      <c r="AG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S340" s="1"/>
      <c r="T340" s="1"/>
      <c r="U340" s="1"/>
      <c r="V340" s="1"/>
      <c r="W340" s="1"/>
      <c r="X340" s="1"/>
      <c r="AB340" s="1"/>
      <c r="AC340" s="1"/>
      <c r="AD340" s="1"/>
      <c r="AE340" s="1"/>
      <c r="AF340" s="1"/>
      <c r="AG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S341" s="1"/>
      <c r="T341" s="1"/>
      <c r="U341" s="1"/>
      <c r="V341" s="1"/>
      <c r="W341" s="1"/>
      <c r="X341" s="1"/>
      <c r="AB341" s="1"/>
      <c r="AC341" s="1"/>
      <c r="AD341" s="1"/>
      <c r="AE341" s="1"/>
      <c r="AF341" s="1"/>
      <c r="AG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S342" s="1"/>
      <c r="T342" s="1"/>
      <c r="U342" s="1"/>
      <c r="V342" s="1"/>
      <c r="W342" s="1"/>
      <c r="X342" s="1"/>
      <c r="AB342" s="1"/>
      <c r="AC342" s="1"/>
      <c r="AD342" s="1"/>
      <c r="AE342" s="1"/>
      <c r="AF342" s="1"/>
      <c r="AG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S343" s="1"/>
      <c r="T343" s="1"/>
      <c r="U343" s="1"/>
      <c r="V343" s="1"/>
      <c r="W343" s="1"/>
      <c r="X343" s="1"/>
      <c r="AB343" s="1"/>
      <c r="AC343" s="1"/>
      <c r="AD343" s="1"/>
      <c r="AE343" s="1"/>
      <c r="AF343" s="1"/>
      <c r="AG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S344" s="1"/>
      <c r="T344" s="1"/>
      <c r="U344" s="1"/>
      <c r="V344" s="1"/>
      <c r="W344" s="1"/>
      <c r="X344" s="1"/>
      <c r="AB344" s="1"/>
      <c r="AC344" s="1"/>
      <c r="AD344" s="1"/>
      <c r="AE344" s="1"/>
      <c r="AF344" s="1"/>
      <c r="AG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S345" s="1"/>
      <c r="T345" s="1"/>
      <c r="U345" s="1"/>
      <c r="V345" s="1"/>
      <c r="W345" s="1"/>
      <c r="X345" s="1"/>
      <c r="AB345" s="1"/>
      <c r="AC345" s="1"/>
      <c r="AD345" s="1"/>
      <c r="AE345" s="1"/>
      <c r="AF345" s="1"/>
      <c r="AG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S346" s="1"/>
      <c r="T346" s="1"/>
      <c r="U346" s="1"/>
      <c r="V346" s="1"/>
      <c r="W346" s="1"/>
      <c r="X346" s="1"/>
      <c r="AB346" s="1"/>
      <c r="AC346" s="1"/>
      <c r="AD346" s="1"/>
      <c r="AE346" s="1"/>
      <c r="AF346" s="1"/>
      <c r="AG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S347" s="1"/>
      <c r="T347" s="1"/>
      <c r="U347" s="1"/>
      <c r="V347" s="1"/>
      <c r="W347" s="1"/>
      <c r="X347" s="1"/>
      <c r="AB347" s="1"/>
      <c r="AC347" s="1"/>
      <c r="AD347" s="1"/>
      <c r="AE347" s="1"/>
      <c r="AF347" s="1"/>
      <c r="AG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S348" s="1"/>
      <c r="T348" s="1"/>
      <c r="U348" s="1"/>
      <c r="V348" s="1"/>
      <c r="W348" s="1"/>
      <c r="X348" s="1"/>
      <c r="AB348" s="1"/>
      <c r="AC348" s="1"/>
      <c r="AD348" s="1"/>
      <c r="AE348" s="1"/>
      <c r="AF348" s="1"/>
      <c r="AG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S349" s="1"/>
      <c r="T349" s="1"/>
      <c r="U349" s="1"/>
      <c r="V349" s="1"/>
      <c r="W349" s="1"/>
      <c r="X349" s="1"/>
      <c r="AB349" s="1"/>
      <c r="AC349" s="1"/>
      <c r="AD349" s="1"/>
      <c r="AE349" s="1"/>
      <c r="AF349" s="1"/>
      <c r="AG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S350" s="1"/>
      <c r="T350" s="1"/>
      <c r="U350" s="1"/>
      <c r="V350" s="1"/>
      <c r="W350" s="1"/>
      <c r="X350" s="1"/>
      <c r="AB350" s="1"/>
      <c r="AC350" s="1"/>
      <c r="AD350" s="1"/>
      <c r="AE350" s="1"/>
      <c r="AF350" s="1"/>
      <c r="AG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S351" s="1"/>
      <c r="T351" s="1"/>
      <c r="U351" s="1"/>
      <c r="V351" s="1"/>
      <c r="W351" s="1"/>
      <c r="X351" s="1"/>
      <c r="AB351" s="1"/>
      <c r="AC351" s="1"/>
      <c r="AD351" s="1"/>
      <c r="AE351" s="1"/>
      <c r="AF351" s="1"/>
      <c r="AG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S352" s="1"/>
      <c r="T352" s="1"/>
      <c r="U352" s="1"/>
      <c r="V352" s="1"/>
      <c r="W352" s="1"/>
      <c r="X352" s="1"/>
      <c r="AB352" s="1"/>
      <c r="AC352" s="1"/>
      <c r="AD352" s="1"/>
      <c r="AE352" s="1"/>
      <c r="AF352" s="1"/>
      <c r="AG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S353" s="1"/>
      <c r="T353" s="1"/>
      <c r="U353" s="1"/>
      <c r="V353" s="1"/>
      <c r="W353" s="1"/>
      <c r="X353" s="1"/>
      <c r="AB353" s="1"/>
      <c r="AC353" s="1"/>
      <c r="AD353" s="1"/>
      <c r="AE353" s="1"/>
      <c r="AF353" s="1"/>
      <c r="AG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S354" s="1"/>
      <c r="T354" s="1"/>
      <c r="U354" s="1"/>
      <c r="V354" s="1"/>
      <c r="W354" s="1"/>
      <c r="X354" s="1"/>
      <c r="AB354" s="1"/>
      <c r="AC354" s="1"/>
      <c r="AD354" s="1"/>
      <c r="AE354" s="1"/>
      <c r="AF354" s="1"/>
      <c r="AG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S355" s="1"/>
      <c r="T355" s="1"/>
      <c r="U355" s="1"/>
      <c r="V355" s="1"/>
      <c r="W355" s="1"/>
      <c r="X355" s="1"/>
      <c r="AB355" s="1"/>
      <c r="AC355" s="1"/>
      <c r="AD355" s="1"/>
      <c r="AE355" s="1"/>
      <c r="AF355" s="1"/>
      <c r="AG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S356" s="1"/>
      <c r="T356" s="1"/>
      <c r="U356" s="1"/>
      <c r="V356" s="1"/>
      <c r="W356" s="1"/>
      <c r="X356" s="1"/>
      <c r="AB356" s="1"/>
      <c r="AC356" s="1"/>
      <c r="AD356" s="1"/>
      <c r="AE356" s="1"/>
      <c r="AF356" s="1"/>
      <c r="AG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S357" s="1"/>
      <c r="T357" s="1"/>
      <c r="U357" s="1"/>
      <c r="V357" s="1"/>
      <c r="W357" s="1"/>
      <c r="X357" s="1"/>
      <c r="AB357" s="1"/>
      <c r="AC357" s="1"/>
      <c r="AD357" s="1"/>
      <c r="AE357" s="1"/>
      <c r="AF357" s="1"/>
      <c r="AG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S358" s="1"/>
      <c r="T358" s="1"/>
      <c r="U358" s="1"/>
      <c r="V358" s="1"/>
      <c r="W358" s="1"/>
      <c r="X358" s="1"/>
      <c r="AB358" s="1"/>
      <c r="AC358" s="1"/>
      <c r="AD358" s="1"/>
      <c r="AE358" s="1"/>
      <c r="AF358" s="1"/>
      <c r="AG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S359" s="1"/>
      <c r="T359" s="1"/>
      <c r="U359" s="1"/>
      <c r="V359" s="1"/>
      <c r="W359" s="1"/>
      <c r="X359" s="1"/>
      <c r="AB359" s="1"/>
      <c r="AC359" s="1"/>
      <c r="AD359" s="1"/>
      <c r="AE359" s="1"/>
      <c r="AF359" s="1"/>
      <c r="AG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S360" s="1"/>
      <c r="T360" s="1"/>
      <c r="U360" s="1"/>
      <c r="V360" s="1"/>
      <c r="W360" s="1"/>
      <c r="X360" s="1"/>
      <c r="AB360" s="1"/>
      <c r="AC360" s="1"/>
      <c r="AD360" s="1"/>
      <c r="AE360" s="1"/>
      <c r="AF360" s="1"/>
      <c r="AG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S361" s="1"/>
      <c r="T361" s="1"/>
      <c r="U361" s="1"/>
      <c r="V361" s="1"/>
      <c r="W361" s="1"/>
      <c r="X361" s="1"/>
      <c r="AB361" s="1"/>
      <c r="AC361" s="1"/>
      <c r="AD361" s="1"/>
      <c r="AE361" s="1"/>
      <c r="AF361" s="1"/>
      <c r="AG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S362" s="1"/>
      <c r="T362" s="1"/>
      <c r="U362" s="1"/>
      <c r="V362" s="1"/>
      <c r="W362" s="1"/>
      <c r="X362" s="1"/>
      <c r="AB362" s="1"/>
      <c r="AC362" s="1"/>
      <c r="AD362" s="1"/>
      <c r="AE362" s="1"/>
      <c r="AF362" s="1"/>
      <c r="AG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S363" s="1"/>
      <c r="T363" s="1"/>
      <c r="U363" s="1"/>
      <c r="V363" s="1"/>
      <c r="W363" s="1"/>
      <c r="X363" s="1"/>
      <c r="AB363" s="1"/>
      <c r="AC363" s="1"/>
      <c r="AD363" s="1"/>
      <c r="AE363" s="1"/>
      <c r="AF363" s="1"/>
      <c r="AG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S364" s="1"/>
      <c r="T364" s="1"/>
      <c r="U364" s="1"/>
      <c r="V364" s="1"/>
      <c r="W364" s="1"/>
      <c r="X364" s="1"/>
      <c r="AB364" s="1"/>
      <c r="AC364" s="1"/>
      <c r="AD364" s="1"/>
      <c r="AE364" s="1"/>
      <c r="AF364" s="1"/>
      <c r="AG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S365" s="1"/>
      <c r="T365" s="1"/>
      <c r="U365" s="1"/>
      <c r="V365" s="1"/>
      <c r="W365" s="1"/>
      <c r="X365" s="1"/>
      <c r="AB365" s="1"/>
      <c r="AC365" s="1"/>
      <c r="AD365" s="1"/>
      <c r="AE365" s="1"/>
      <c r="AF365" s="1"/>
      <c r="AG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S366" s="1"/>
      <c r="T366" s="1"/>
      <c r="U366" s="1"/>
      <c r="V366" s="1"/>
      <c r="W366" s="1"/>
      <c r="X366" s="1"/>
      <c r="AB366" s="1"/>
      <c r="AC366" s="1"/>
      <c r="AD366" s="1"/>
      <c r="AE366" s="1"/>
      <c r="AF366" s="1"/>
      <c r="AG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S367" s="1"/>
      <c r="T367" s="1"/>
      <c r="U367" s="1"/>
      <c r="V367" s="1"/>
      <c r="W367" s="1"/>
      <c r="X367" s="1"/>
      <c r="AB367" s="1"/>
      <c r="AC367" s="1"/>
      <c r="AD367" s="1"/>
      <c r="AE367" s="1"/>
      <c r="AF367" s="1"/>
      <c r="AG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S368" s="1"/>
      <c r="T368" s="1"/>
      <c r="U368" s="1"/>
      <c r="V368" s="1"/>
      <c r="W368" s="1"/>
      <c r="X368" s="1"/>
      <c r="AB368" s="1"/>
      <c r="AC368" s="1"/>
      <c r="AD368" s="1"/>
      <c r="AE368" s="1"/>
      <c r="AF368" s="1"/>
      <c r="AG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S369" s="1"/>
      <c r="T369" s="1"/>
      <c r="U369" s="1"/>
      <c r="V369" s="1"/>
      <c r="W369" s="1"/>
      <c r="X369" s="1"/>
      <c r="AB369" s="1"/>
      <c r="AC369" s="1"/>
      <c r="AD369" s="1"/>
      <c r="AE369" s="1"/>
      <c r="AF369" s="1"/>
      <c r="AG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S370" s="1"/>
      <c r="T370" s="1"/>
      <c r="U370" s="1"/>
      <c r="V370" s="1"/>
      <c r="W370" s="1"/>
      <c r="X370" s="1"/>
      <c r="AB370" s="1"/>
      <c r="AC370" s="1"/>
      <c r="AD370" s="1"/>
      <c r="AE370" s="1"/>
      <c r="AF370" s="1"/>
      <c r="AG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S371" s="1"/>
      <c r="T371" s="1"/>
      <c r="U371" s="1"/>
      <c r="V371" s="1"/>
      <c r="W371" s="1"/>
      <c r="X371" s="1"/>
      <c r="AB371" s="1"/>
      <c r="AC371" s="1"/>
      <c r="AD371" s="1"/>
      <c r="AE371" s="1"/>
      <c r="AF371" s="1"/>
      <c r="AG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S372" s="1"/>
      <c r="T372" s="1"/>
      <c r="U372" s="1"/>
      <c r="V372" s="1"/>
      <c r="W372" s="1"/>
      <c r="X372" s="1"/>
      <c r="AB372" s="1"/>
      <c r="AC372" s="1"/>
      <c r="AD372" s="1"/>
      <c r="AE372" s="1"/>
      <c r="AF372" s="1"/>
      <c r="AG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S373" s="1"/>
      <c r="T373" s="1"/>
      <c r="U373" s="1"/>
      <c r="V373" s="1"/>
      <c r="W373" s="1"/>
      <c r="X373" s="1"/>
      <c r="AB373" s="1"/>
      <c r="AC373" s="1"/>
      <c r="AD373" s="1"/>
      <c r="AE373" s="1"/>
      <c r="AF373" s="1"/>
      <c r="AG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S374" s="1"/>
      <c r="T374" s="1"/>
      <c r="U374" s="1"/>
      <c r="V374" s="1"/>
      <c r="W374" s="1"/>
      <c r="X374" s="1"/>
      <c r="AB374" s="1"/>
      <c r="AC374" s="1"/>
      <c r="AD374" s="1"/>
      <c r="AE374" s="1"/>
      <c r="AF374" s="1"/>
      <c r="AG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S375" s="1"/>
      <c r="T375" s="1"/>
      <c r="U375" s="1"/>
      <c r="V375" s="1"/>
      <c r="W375" s="1"/>
      <c r="X375" s="1"/>
      <c r="AB375" s="1"/>
      <c r="AC375" s="1"/>
      <c r="AD375" s="1"/>
      <c r="AE375" s="1"/>
      <c r="AF375" s="1"/>
      <c r="AG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S376" s="1"/>
      <c r="T376" s="1"/>
      <c r="U376" s="1"/>
      <c r="V376" s="1"/>
      <c r="W376" s="1"/>
      <c r="X376" s="1"/>
      <c r="AB376" s="1"/>
      <c r="AC376" s="1"/>
      <c r="AD376" s="1"/>
      <c r="AE376" s="1"/>
      <c r="AF376" s="1"/>
      <c r="AG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S377" s="1"/>
      <c r="T377" s="1"/>
      <c r="U377" s="1"/>
      <c r="V377" s="1"/>
      <c r="W377" s="1"/>
      <c r="X377" s="1"/>
      <c r="AB377" s="1"/>
      <c r="AC377" s="1"/>
      <c r="AD377" s="1"/>
      <c r="AE377" s="1"/>
      <c r="AF377" s="1"/>
      <c r="AG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S378" s="1"/>
      <c r="T378" s="1"/>
      <c r="U378" s="1"/>
      <c r="V378" s="1"/>
      <c r="W378" s="1"/>
      <c r="X378" s="1"/>
      <c r="AB378" s="1"/>
      <c r="AC378" s="1"/>
      <c r="AD378" s="1"/>
      <c r="AE378" s="1"/>
      <c r="AF378" s="1"/>
      <c r="AG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S379" s="1"/>
      <c r="T379" s="1"/>
      <c r="U379" s="1"/>
      <c r="V379" s="1"/>
      <c r="W379" s="1"/>
      <c r="X379" s="1"/>
      <c r="AB379" s="1"/>
      <c r="AC379" s="1"/>
      <c r="AD379" s="1"/>
      <c r="AE379" s="1"/>
      <c r="AF379" s="1"/>
      <c r="AG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S380" s="1"/>
      <c r="T380" s="1"/>
      <c r="U380" s="1"/>
      <c r="V380" s="1"/>
      <c r="W380" s="1"/>
      <c r="X380" s="1"/>
      <c r="AB380" s="1"/>
      <c r="AC380" s="1"/>
      <c r="AD380" s="1"/>
      <c r="AE380" s="1"/>
      <c r="AF380" s="1"/>
      <c r="AG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S381" s="1"/>
      <c r="T381" s="1"/>
      <c r="U381" s="1"/>
      <c r="V381" s="1"/>
      <c r="W381" s="1"/>
      <c r="X381" s="1"/>
      <c r="AB381" s="1"/>
      <c r="AC381" s="1"/>
      <c r="AD381" s="1"/>
      <c r="AE381" s="1"/>
      <c r="AF381" s="1"/>
      <c r="AG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S382" s="1"/>
      <c r="T382" s="1"/>
      <c r="U382" s="1"/>
      <c r="V382" s="1"/>
      <c r="W382" s="1"/>
      <c r="X382" s="1"/>
      <c r="AB382" s="1"/>
      <c r="AC382" s="1"/>
      <c r="AD382" s="1"/>
      <c r="AE382" s="1"/>
      <c r="AF382" s="1"/>
      <c r="AG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S383" s="1"/>
      <c r="T383" s="1"/>
      <c r="U383" s="1"/>
      <c r="V383" s="1"/>
      <c r="W383" s="1"/>
      <c r="X383" s="1"/>
      <c r="AB383" s="1"/>
      <c r="AC383" s="1"/>
      <c r="AD383" s="1"/>
      <c r="AE383" s="1"/>
      <c r="AF383" s="1"/>
      <c r="AG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S384" s="1"/>
      <c r="T384" s="1"/>
      <c r="U384" s="1"/>
      <c r="V384" s="1"/>
      <c r="W384" s="1"/>
      <c r="X384" s="1"/>
      <c r="AB384" s="1"/>
      <c r="AC384" s="1"/>
      <c r="AD384" s="1"/>
      <c r="AE384" s="1"/>
      <c r="AF384" s="1"/>
      <c r="AG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S385" s="1"/>
      <c r="T385" s="1"/>
      <c r="U385" s="1"/>
      <c r="V385" s="1"/>
      <c r="W385" s="1"/>
      <c r="X385" s="1"/>
      <c r="AB385" s="1"/>
      <c r="AC385" s="1"/>
      <c r="AD385" s="1"/>
      <c r="AE385" s="1"/>
      <c r="AF385" s="1"/>
      <c r="AG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S386" s="1"/>
      <c r="T386" s="1"/>
      <c r="U386" s="1"/>
      <c r="V386" s="1"/>
      <c r="W386" s="1"/>
      <c r="X386" s="1"/>
      <c r="AB386" s="1"/>
      <c r="AC386" s="1"/>
      <c r="AD386" s="1"/>
      <c r="AE386" s="1"/>
      <c r="AF386" s="1"/>
      <c r="AG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S387" s="1"/>
      <c r="T387" s="1"/>
      <c r="U387" s="1"/>
      <c r="V387" s="1"/>
      <c r="W387" s="1"/>
      <c r="X387" s="1"/>
      <c r="AB387" s="1"/>
      <c r="AC387" s="1"/>
      <c r="AD387" s="1"/>
      <c r="AE387" s="1"/>
      <c r="AF387" s="1"/>
      <c r="AG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S388" s="1"/>
      <c r="T388" s="1"/>
      <c r="U388" s="1"/>
      <c r="V388" s="1"/>
      <c r="W388" s="1"/>
      <c r="X388" s="1"/>
      <c r="AB388" s="1"/>
      <c r="AC388" s="1"/>
      <c r="AD388" s="1"/>
      <c r="AE388" s="1"/>
      <c r="AF388" s="1"/>
      <c r="AG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S389" s="1"/>
      <c r="T389" s="1"/>
      <c r="U389" s="1"/>
      <c r="V389" s="1"/>
      <c r="W389" s="1"/>
      <c r="X389" s="1"/>
      <c r="AB389" s="1"/>
      <c r="AC389" s="1"/>
      <c r="AD389" s="1"/>
      <c r="AE389" s="1"/>
      <c r="AF389" s="1"/>
      <c r="AG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S390" s="1"/>
      <c r="T390" s="1"/>
      <c r="U390" s="1"/>
      <c r="V390" s="1"/>
      <c r="W390" s="1"/>
      <c r="X390" s="1"/>
      <c r="AB390" s="1"/>
      <c r="AC390" s="1"/>
      <c r="AD390" s="1"/>
      <c r="AE390" s="1"/>
      <c r="AF390" s="1"/>
      <c r="AG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S391" s="1"/>
      <c r="T391" s="1"/>
      <c r="U391" s="1"/>
      <c r="V391" s="1"/>
      <c r="W391" s="1"/>
      <c r="X391" s="1"/>
      <c r="AB391" s="1"/>
      <c r="AC391" s="1"/>
      <c r="AD391" s="1"/>
      <c r="AE391" s="1"/>
      <c r="AF391" s="1"/>
      <c r="AG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S392" s="1"/>
      <c r="T392" s="1"/>
      <c r="U392" s="1"/>
      <c r="V392" s="1"/>
      <c r="W392" s="1"/>
      <c r="X392" s="1"/>
      <c r="AB392" s="1"/>
      <c r="AC392" s="1"/>
      <c r="AD392" s="1"/>
      <c r="AE392" s="1"/>
      <c r="AF392" s="1"/>
      <c r="AG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S393" s="1"/>
      <c r="T393" s="1"/>
      <c r="U393" s="1"/>
      <c r="V393" s="1"/>
      <c r="W393" s="1"/>
      <c r="X393" s="1"/>
      <c r="AB393" s="1"/>
      <c r="AC393" s="1"/>
      <c r="AD393" s="1"/>
      <c r="AE393" s="1"/>
      <c r="AF393" s="1"/>
      <c r="AG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S394" s="1"/>
      <c r="T394" s="1"/>
      <c r="U394" s="1"/>
      <c r="V394" s="1"/>
      <c r="W394" s="1"/>
      <c r="X394" s="1"/>
      <c r="AB394" s="1"/>
      <c r="AC394" s="1"/>
      <c r="AD394" s="1"/>
      <c r="AE394" s="1"/>
      <c r="AF394" s="1"/>
      <c r="AG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S395" s="1"/>
      <c r="T395" s="1"/>
      <c r="U395" s="1"/>
      <c r="V395" s="1"/>
      <c r="W395" s="1"/>
      <c r="X395" s="1"/>
      <c r="AB395" s="1"/>
      <c r="AC395" s="1"/>
      <c r="AD395" s="1"/>
      <c r="AE395" s="1"/>
      <c r="AF395" s="1"/>
      <c r="AG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S396" s="1"/>
      <c r="T396" s="1"/>
      <c r="U396" s="1"/>
      <c r="V396" s="1"/>
      <c r="W396" s="1"/>
      <c r="X396" s="1"/>
      <c r="AB396" s="1"/>
      <c r="AC396" s="1"/>
      <c r="AD396" s="1"/>
      <c r="AE396" s="1"/>
      <c r="AF396" s="1"/>
      <c r="AG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S397" s="1"/>
      <c r="T397" s="1"/>
      <c r="U397" s="1"/>
      <c r="V397" s="1"/>
      <c r="W397" s="1"/>
      <c r="X397" s="1"/>
      <c r="AB397" s="1"/>
      <c r="AC397" s="1"/>
      <c r="AD397" s="1"/>
      <c r="AE397" s="1"/>
      <c r="AF397" s="1"/>
      <c r="AG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S398" s="1"/>
      <c r="T398" s="1"/>
      <c r="U398" s="1"/>
      <c r="V398" s="1"/>
      <c r="W398" s="1"/>
      <c r="X398" s="1"/>
      <c r="AB398" s="1"/>
      <c r="AC398" s="1"/>
      <c r="AD398" s="1"/>
      <c r="AE398" s="1"/>
      <c r="AF398" s="1"/>
      <c r="AG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S399" s="1"/>
      <c r="T399" s="1"/>
      <c r="U399" s="1"/>
      <c r="V399" s="1"/>
      <c r="W399" s="1"/>
      <c r="X399" s="1"/>
      <c r="AB399" s="1"/>
      <c r="AC399" s="1"/>
      <c r="AD399" s="1"/>
      <c r="AE399" s="1"/>
      <c r="AF399" s="1"/>
      <c r="AG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S400" s="1"/>
      <c r="T400" s="1"/>
      <c r="U400" s="1"/>
      <c r="V400" s="1"/>
      <c r="W400" s="1"/>
      <c r="X400" s="1"/>
      <c r="AB400" s="1"/>
      <c r="AC400" s="1"/>
      <c r="AD400" s="1"/>
      <c r="AE400" s="1"/>
      <c r="AF400" s="1"/>
      <c r="AG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S401" s="1"/>
      <c r="T401" s="1"/>
      <c r="U401" s="1"/>
      <c r="V401" s="1"/>
      <c r="W401" s="1"/>
      <c r="X401" s="1"/>
      <c r="AB401" s="1"/>
      <c r="AC401" s="1"/>
      <c r="AD401" s="1"/>
      <c r="AE401" s="1"/>
      <c r="AF401" s="1"/>
      <c r="AG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S402" s="1"/>
      <c r="T402" s="1"/>
      <c r="U402" s="1"/>
      <c r="V402" s="1"/>
      <c r="W402" s="1"/>
      <c r="X402" s="1"/>
      <c r="AB402" s="1"/>
      <c r="AC402" s="1"/>
      <c r="AD402" s="1"/>
      <c r="AE402" s="1"/>
      <c r="AF402" s="1"/>
      <c r="AG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S403" s="1"/>
      <c r="T403" s="1"/>
      <c r="U403" s="1"/>
      <c r="V403" s="1"/>
      <c r="W403" s="1"/>
      <c r="X403" s="1"/>
      <c r="AB403" s="1"/>
      <c r="AC403" s="1"/>
      <c r="AD403" s="1"/>
      <c r="AE403" s="1"/>
      <c r="AF403" s="1"/>
      <c r="AG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S404" s="1"/>
      <c r="T404" s="1"/>
      <c r="U404" s="1"/>
      <c r="V404" s="1"/>
      <c r="W404" s="1"/>
      <c r="X404" s="1"/>
      <c r="AB404" s="1"/>
      <c r="AC404" s="1"/>
      <c r="AD404" s="1"/>
      <c r="AE404" s="1"/>
      <c r="AF404" s="1"/>
      <c r="AG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S405" s="1"/>
      <c r="T405" s="1"/>
      <c r="U405" s="1"/>
      <c r="V405" s="1"/>
      <c r="W405" s="1"/>
      <c r="X405" s="1"/>
      <c r="AB405" s="1"/>
      <c r="AC405" s="1"/>
      <c r="AD405" s="1"/>
      <c r="AE405" s="1"/>
      <c r="AF405" s="1"/>
      <c r="AG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S406" s="1"/>
      <c r="T406" s="1"/>
      <c r="U406" s="1"/>
      <c r="V406" s="1"/>
      <c r="W406" s="1"/>
      <c r="X406" s="1"/>
      <c r="AB406" s="1"/>
      <c r="AC406" s="1"/>
      <c r="AD406" s="1"/>
      <c r="AE406" s="1"/>
      <c r="AF406" s="1"/>
      <c r="AG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S407" s="1"/>
      <c r="T407" s="1"/>
      <c r="U407" s="1"/>
      <c r="V407" s="1"/>
      <c r="W407" s="1"/>
      <c r="X407" s="1"/>
      <c r="AB407" s="1"/>
      <c r="AC407" s="1"/>
      <c r="AD407" s="1"/>
      <c r="AE407" s="1"/>
      <c r="AF407" s="1"/>
      <c r="AG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S408" s="1"/>
      <c r="T408" s="1"/>
      <c r="U408" s="1"/>
      <c r="V408" s="1"/>
      <c r="W408" s="1"/>
      <c r="X408" s="1"/>
      <c r="AB408" s="1"/>
      <c r="AC408" s="1"/>
      <c r="AD408" s="1"/>
      <c r="AE408" s="1"/>
      <c r="AF408" s="1"/>
      <c r="AG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S409" s="1"/>
      <c r="T409" s="1"/>
      <c r="U409" s="1"/>
      <c r="V409" s="1"/>
      <c r="W409" s="1"/>
      <c r="X409" s="1"/>
      <c r="AB409" s="1"/>
      <c r="AC409" s="1"/>
      <c r="AD409" s="1"/>
      <c r="AE409" s="1"/>
      <c r="AF409" s="1"/>
      <c r="AG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S410" s="1"/>
      <c r="T410" s="1"/>
      <c r="U410" s="1"/>
      <c r="V410" s="1"/>
      <c r="W410" s="1"/>
      <c r="X410" s="1"/>
      <c r="AB410" s="1"/>
      <c r="AC410" s="1"/>
      <c r="AD410" s="1"/>
      <c r="AE410" s="1"/>
      <c r="AF410" s="1"/>
      <c r="AG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S411" s="1"/>
      <c r="T411" s="1"/>
      <c r="U411" s="1"/>
      <c r="V411" s="1"/>
      <c r="W411" s="1"/>
      <c r="X411" s="1"/>
      <c r="AB411" s="1"/>
      <c r="AC411" s="1"/>
      <c r="AD411" s="1"/>
      <c r="AE411" s="1"/>
      <c r="AF411" s="1"/>
      <c r="AG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S412" s="1"/>
      <c r="T412" s="1"/>
      <c r="U412" s="1"/>
      <c r="V412" s="1"/>
      <c r="W412" s="1"/>
      <c r="X412" s="1"/>
      <c r="AB412" s="1"/>
      <c r="AC412" s="1"/>
      <c r="AD412" s="1"/>
      <c r="AE412" s="1"/>
      <c r="AF412" s="1"/>
      <c r="AG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S413" s="1"/>
      <c r="T413" s="1"/>
      <c r="U413" s="1"/>
      <c r="V413" s="1"/>
      <c r="W413" s="1"/>
      <c r="X413" s="1"/>
      <c r="AB413" s="1"/>
      <c r="AC413" s="1"/>
      <c r="AD413" s="1"/>
      <c r="AE413" s="1"/>
      <c r="AF413" s="1"/>
      <c r="AG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S414" s="1"/>
      <c r="T414" s="1"/>
      <c r="U414" s="1"/>
      <c r="V414" s="1"/>
      <c r="W414" s="1"/>
      <c r="X414" s="1"/>
      <c r="AB414" s="1"/>
      <c r="AC414" s="1"/>
      <c r="AD414" s="1"/>
      <c r="AE414" s="1"/>
      <c r="AF414" s="1"/>
      <c r="AG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S415" s="1"/>
      <c r="T415" s="1"/>
      <c r="U415" s="1"/>
      <c r="V415" s="1"/>
      <c r="W415" s="1"/>
      <c r="X415" s="1"/>
      <c r="AB415" s="1"/>
      <c r="AC415" s="1"/>
      <c r="AD415" s="1"/>
      <c r="AE415" s="1"/>
      <c r="AF415" s="1"/>
      <c r="AG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S416" s="1"/>
      <c r="T416" s="1"/>
      <c r="U416" s="1"/>
      <c r="V416" s="1"/>
      <c r="W416" s="1"/>
      <c r="X416" s="1"/>
      <c r="AB416" s="1"/>
      <c r="AC416" s="1"/>
      <c r="AD416" s="1"/>
      <c r="AE416" s="1"/>
      <c r="AF416" s="1"/>
      <c r="AG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S417" s="1"/>
      <c r="T417" s="1"/>
      <c r="U417" s="1"/>
      <c r="V417" s="1"/>
      <c r="W417" s="1"/>
      <c r="X417" s="1"/>
      <c r="AB417" s="1"/>
      <c r="AC417" s="1"/>
      <c r="AD417" s="1"/>
      <c r="AE417" s="1"/>
      <c r="AF417" s="1"/>
      <c r="AG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S418" s="1"/>
      <c r="T418" s="1"/>
      <c r="U418" s="1"/>
      <c r="V418" s="1"/>
      <c r="W418" s="1"/>
      <c r="X418" s="1"/>
      <c r="AB418" s="1"/>
      <c r="AC418" s="1"/>
      <c r="AD418" s="1"/>
      <c r="AE418" s="1"/>
      <c r="AF418" s="1"/>
      <c r="AG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S419" s="1"/>
      <c r="T419" s="1"/>
      <c r="U419" s="1"/>
      <c r="V419" s="1"/>
      <c r="W419" s="1"/>
      <c r="X419" s="1"/>
      <c r="AB419" s="1"/>
      <c r="AC419" s="1"/>
      <c r="AD419" s="1"/>
      <c r="AE419" s="1"/>
      <c r="AF419" s="1"/>
      <c r="AG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S420" s="1"/>
      <c r="T420" s="1"/>
      <c r="U420" s="1"/>
      <c r="V420" s="1"/>
      <c r="W420" s="1"/>
      <c r="X420" s="1"/>
      <c r="AB420" s="1"/>
      <c r="AC420" s="1"/>
      <c r="AD420" s="1"/>
      <c r="AE420" s="1"/>
      <c r="AF420" s="1"/>
      <c r="AG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S421" s="1"/>
      <c r="T421" s="1"/>
      <c r="U421" s="1"/>
      <c r="V421" s="1"/>
      <c r="W421" s="1"/>
      <c r="X421" s="1"/>
      <c r="AB421" s="1"/>
      <c r="AC421" s="1"/>
      <c r="AD421" s="1"/>
      <c r="AE421" s="1"/>
      <c r="AF421" s="1"/>
      <c r="AG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S422" s="1"/>
      <c r="T422" s="1"/>
      <c r="U422" s="1"/>
      <c r="V422" s="1"/>
      <c r="W422" s="1"/>
      <c r="X422" s="1"/>
      <c r="AB422" s="1"/>
      <c r="AC422" s="1"/>
      <c r="AD422" s="1"/>
      <c r="AE422" s="1"/>
      <c r="AF422" s="1"/>
      <c r="AG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S423" s="1"/>
      <c r="T423" s="1"/>
      <c r="U423" s="1"/>
      <c r="V423" s="1"/>
      <c r="W423" s="1"/>
      <c r="X423" s="1"/>
      <c r="AB423" s="1"/>
      <c r="AC423" s="1"/>
      <c r="AD423" s="1"/>
      <c r="AE423" s="1"/>
      <c r="AF423" s="1"/>
      <c r="AG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S424" s="1"/>
      <c r="T424" s="1"/>
      <c r="U424" s="1"/>
      <c r="V424" s="1"/>
      <c r="W424" s="1"/>
      <c r="X424" s="1"/>
      <c r="AB424" s="1"/>
      <c r="AC424" s="1"/>
      <c r="AD424" s="1"/>
      <c r="AE424" s="1"/>
      <c r="AF424" s="1"/>
      <c r="AG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S425" s="1"/>
      <c r="T425" s="1"/>
      <c r="U425" s="1"/>
      <c r="V425" s="1"/>
      <c r="W425" s="1"/>
      <c r="X425" s="1"/>
      <c r="AB425" s="1"/>
      <c r="AC425" s="1"/>
      <c r="AD425" s="1"/>
      <c r="AE425" s="1"/>
      <c r="AF425" s="1"/>
      <c r="AG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S426" s="1"/>
      <c r="T426" s="1"/>
      <c r="U426" s="1"/>
      <c r="V426" s="1"/>
      <c r="W426" s="1"/>
      <c r="X426" s="1"/>
      <c r="AB426" s="1"/>
      <c r="AC426" s="1"/>
      <c r="AD426" s="1"/>
      <c r="AE426" s="1"/>
      <c r="AF426" s="1"/>
      <c r="AG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S427" s="1"/>
      <c r="T427" s="1"/>
      <c r="U427" s="1"/>
      <c r="V427" s="1"/>
      <c r="W427" s="1"/>
      <c r="X427" s="1"/>
      <c r="AB427" s="1"/>
      <c r="AC427" s="1"/>
      <c r="AD427" s="1"/>
      <c r="AE427" s="1"/>
      <c r="AF427" s="1"/>
      <c r="AG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S428" s="1"/>
      <c r="T428" s="1"/>
      <c r="U428" s="1"/>
      <c r="V428" s="1"/>
      <c r="W428" s="1"/>
      <c r="X428" s="1"/>
      <c r="AB428" s="1"/>
      <c r="AC428" s="1"/>
      <c r="AD428" s="1"/>
      <c r="AE428" s="1"/>
      <c r="AF428" s="1"/>
      <c r="AG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S429" s="1"/>
      <c r="T429" s="1"/>
      <c r="U429" s="1"/>
      <c r="V429" s="1"/>
      <c r="W429" s="1"/>
      <c r="X429" s="1"/>
      <c r="AB429" s="1"/>
      <c r="AC429" s="1"/>
      <c r="AD429" s="1"/>
      <c r="AE429" s="1"/>
      <c r="AF429" s="1"/>
      <c r="AG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S430" s="1"/>
      <c r="T430" s="1"/>
      <c r="U430" s="1"/>
      <c r="V430" s="1"/>
      <c r="W430" s="1"/>
      <c r="X430" s="1"/>
      <c r="AB430" s="1"/>
      <c r="AC430" s="1"/>
      <c r="AD430" s="1"/>
      <c r="AE430" s="1"/>
      <c r="AF430" s="1"/>
      <c r="AG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S431" s="1"/>
      <c r="T431" s="1"/>
      <c r="U431" s="1"/>
      <c r="V431" s="1"/>
      <c r="W431" s="1"/>
      <c r="X431" s="1"/>
      <c r="AB431" s="1"/>
      <c r="AC431" s="1"/>
      <c r="AD431" s="1"/>
      <c r="AE431" s="1"/>
      <c r="AF431" s="1"/>
      <c r="AG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S432" s="1"/>
      <c r="T432" s="1"/>
      <c r="U432" s="1"/>
      <c r="V432" s="1"/>
      <c r="W432" s="1"/>
      <c r="X432" s="1"/>
      <c r="AB432" s="1"/>
      <c r="AC432" s="1"/>
      <c r="AD432" s="1"/>
      <c r="AE432" s="1"/>
      <c r="AF432" s="1"/>
      <c r="AG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S433" s="1"/>
      <c r="T433" s="1"/>
      <c r="U433" s="1"/>
      <c r="V433" s="1"/>
      <c r="W433" s="1"/>
      <c r="X433" s="1"/>
      <c r="AB433" s="1"/>
      <c r="AC433" s="1"/>
      <c r="AD433" s="1"/>
      <c r="AE433" s="1"/>
      <c r="AF433" s="1"/>
      <c r="AG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S434" s="1"/>
      <c r="T434" s="1"/>
      <c r="U434" s="1"/>
      <c r="V434" s="1"/>
      <c r="W434" s="1"/>
      <c r="X434" s="1"/>
      <c r="AB434" s="1"/>
      <c r="AC434" s="1"/>
      <c r="AD434" s="1"/>
      <c r="AE434" s="1"/>
      <c r="AF434" s="1"/>
      <c r="AG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S435" s="1"/>
      <c r="T435" s="1"/>
      <c r="U435" s="1"/>
      <c r="V435" s="1"/>
      <c r="W435" s="1"/>
      <c r="X435" s="1"/>
      <c r="AB435" s="1"/>
      <c r="AC435" s="1"/>
      <c r="AD435" s="1"/>
      <c r="AE435" s="1"/>
      <c r="AF435" s="1"/>
      <c r="AG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S436" s="1"/>
      <c r="T436" s="1"/>
      <c r="U436" s="1"/>
      <c r="V436" s="1"/>
      <c r="W436" s="1"/>
      <c r="X436" s="1"/>
      <c r="AB436" s="1"/>
      <c r="AC436" s="1"/>
      <c r="AD436" s="1"/>
      <c r="AE436" s="1"/>
      <c r="AF436" s="1"/>
      <c r="AG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S437" s="1"/>
      <c r="T437" s="1"/>
      <c r="U437" s="1"/>
      <c r="V437" s="1"/>
      <c r="W437" s="1"/>
      <c r="X437" s="1"/>
      <c r="AB437" s="1"/>
      <c r="AC437" s="1"/>
      <c r="AD437" s="1"/>
      <c r="AE437" s="1"/>
      <c r="AF437" s="1"/>
      <c r="AG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S438" s="1"/>
      <c r="T438" s="1"/>
      <c r="U438" s="1"/>
      <c r="V438" s="1"/>
      <c r="W438" s="1"/>
      <c r="X438" s="1"/>
      <c r="AB438" s="1"/>
      <c r="AC438" s="1"/>
      <c r="AD438" s="1"/>
      <c r="AE438" s="1"/>
      <c r="AF438" s="1"/>
      <c r="AG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S439" s="1"/>
      <c r="T439" s="1"/>
      <c r="U439" s="1"/>
      <c r="V439" s="1"/>
      <c r="W439" s="1"/>
      <c r="X439" s="1"/>
      <c r="AB439" s="1"/>
      <c r="AC439" s="1"/>
      <c r="AD439" s="1"/>
      <c r="AE439" s="1"/>
      <c r="AF439" s="1"/>
      <c r="AG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S440" s="1"/>
      <c r="T440" s="1"/>
      <c r="U440" s="1"/>
      <c r="V440" s="1"/>
      <c r="W440" s="1"/>
      <c r="X440" s="1"/>
      <c r="AB440" s="1"/>
      <c r="AC440" s="1"/>
      <c r="AD440" s="1"/>
      <c r="AE440" s="1"/>
      <c r="AF440" s="1"/>
      <c r="AG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S441" s="1"/>
      <c r="T441" s="1"/>
      <c r="U441" s="1"/>
      <c r="V441" s="1"/>
      <c r="W441" s="1"/>
      <c r="X441" s="1"/>
      <c r="AB441" s="1"/>
      <c r="AC441" s="1"/>
      <c r="AD441" s="1"/>
      <c r="AE441" s="1"/>
      <c r="AF441" s="1"/>
      <c r="AG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S442" s="1"/>
      <c r="T442" s="1"/>
      <c r="U442" s="1"/>
      <c r="V442" s="1"/>
      <c r="W442" s="1"/>
      <c r="X442" s="1"/>
      <c r="AB442" s="1"/>
      <c r="AC442" s="1"/>
      <c r="AD442" s="1"/>
      <c r="AE442" s="1"/>
      <c r="AF442" s="1"/>
      <c r="AG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S443" s="1"/>
      <c r="T443" s="1"/>
      <c r="U443" s="1"/>
      <c r="V443" s="1"/>
      <c r="W443" s="1"/>
      <c r="X443" s="1"/>
      <c r="AB443" s="1"/>
      <c r="AC443" s="1"/>
      <c r="AD443" s="1"/>
      <c r="AE443" s="1"/>
      <c r="AF443" s="1"/>
      <c r="AG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S444" s="1"/>
      <c r="T444" s="1"/>
      <c r="U444" s="1"/>
      <c r="V444" s="1"/>
      <c r="W444" s="1"/>
      <c r="X444" s="1"/>
      <c r="AB444" s="1"/>
      <c r="AC444" s="1"/>
      <c r="AD444" s="1"/>
      <c r="AE444" s="1"/>
      <c r="AF444" s="1"/>
      <c r="AG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S445" s="1"/>
      <c r="T445" s="1"/>
      <c r="U445" s="1"/>
      <c r="V445" s="1"/>
      <c r="W445" s="1"/>
      <c r="X445" s="1"/>
      <c r="AB445" s="1"/>
      <c r="AC445" s="1"/>
      <c r="AD445" s="1"/>
      <c r="AE445" s="1"/>
      <c r="AF445" s="1"/>
      <c r="AG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S446" s="1"/>
      <c r="T446" s="1"/>
      <c r="U446" s="1"/>
      <c r="V446" s="1"/>
      <c r="W446" s="1"/>
      <c r="X446" s="1"/>
      <c r="AB446" s="1"/>
      <c r="AC446" s="1"/>
      <c r="AD446" s="1"/>
      <c r="AE446" s="1"/>
      <c r="AF446" s="1"/>
      <c r="AG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S447" s="1"/>
      <c r="T447" s="1"/>
      <c r="U447" s="1"/>
      <c r="V447" s="1"/>
      <c r="W447" s="1"/>
      <c r="X447" s="1"/>
      <c r="AB447" s="1"/>
      <c r="AC447" s="1"/>
      <c r="AD447" s="1"/>
      <c r="AE447" s="1"/>
      <c r="AF447" s="1"/>
      <c r="AG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S448" s="1"/>
      <c r="T448" s="1"/>
      <c r="U448" s="1"/>
      <c r="V448" s="1"/>
      <c r="W448" s="1"/>
      <c r="X448" s="1"/>
      <c r="AB448" s="1"/>
      <c r="AC448" s="1"/>
      <c r="AD448" s="1"/>
      <c r="AE448" s="1"/>
      <c r="AF448" s="1"/>
      <c r="AG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S449" s="1"/>
      <c r="T449" s="1"/>
      <c r="U449" s="1"/>
      <c r="V449" s="1"/>
      <c r="W449" s="1"/>
      <c r="X449" s="1"/>
      <c r="AB449" s="1"/>
      <c r="AC449" s="1"/>
      <c r="AD449" s="1"/>
      <c r="AE449" s="1"/>
      <c r="AF449" s="1"/>
      <c r="AG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S450" s="1"/>
      <c r="T450" s="1"/>
      <c r="U450" s="1"/>
      <c r="V450" s="1"/>
      <c r="W450" s="1"/>
      <c r="X450" s="1"/>
      <c r="AB450" s="1"/>
      <c r="AC450" s="1"/>
      <c r="AD450" s="1"/>
      <c r="AE450" s="1"/>
      <c r="AF450" s="1"/>
      <c r="AG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S451" s="1"/>
      <c r="T451" s="1"/>
      <c r="U451" s="1"/>
      <c r="V451" s="1"/>
      <c r="W451" s="1"/>
      <c r="X451" s="1"/>
      <c r="AB451" s="1"/>
      <c r="AC451" s="1"/>
      <c r="AD451" s="1"/>
      <c r="AE451" s="1"/>
      <c r="AF451" s="1"/>
      <c r="AG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S452" s="1"/>
      <c r="T452" s="1"/>
      <c r="U452" s="1"/>
      <c r="V452" s="1"/>
      <c r="W452" s="1"/>
      <c r="X452" s="1"/>
      <c r="AB452" s="1"/>
      <c r="AC452" s="1"/>
      <c r="AD452" s="1"/>
      <c r="AE452" s="1"/>
      <c r="AF452" s="1"/>
      <c r="AG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S453" s="1"/>
      <c r="T453" s="1"/>
      <c r="U453" s="1"/>
      <c r="V453" s="1"/>
      <c r="W453" s="1"/>
      <c r="X453" s="1"/>
      <c r="AB453" s="1"/>
      <c r="AC453" s="1"/>
      <c r="AD453" s="1"/>
      <c r="AE453" s="1"/>
      <c r="AF453" s="1"/>
      <c r="AG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S454" s="1"/>
      <c r="T454" s="1"/>
      <c r="U454" s="1"/>
      <c r="V454" s="1"/>
      <c r="W454" s="1"/>
      <c r="X454" s="1"/>
      <c r="AB454" s="1"/>
      <c r="AC454" s="1"/>
      <c r="AD454" s="1"/>
      <c r="AE454" s="1"/>
      <c r="AF454" s="1"/>
      <c r="AG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S455" s="1"/>
      <c r="T455" s="1"/>
      <c r="U455" s="1"/>
      <c r="V455" s="1"/>
      <c r="W455" s="1"/>
      <c r="X455" s="1"/>
      <c r="AB455" s="1"/>
      <c r="AC455" s="1"/>
      <c r="AD455" s="1"/>
      <c r="AE455" s="1"/>
      <c r="AF455" s="1"/>
      <c r="AG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S456" s="1"/>
      <c r="T456" s="1"/>
      <c r="U456" s="1"/>
      <c r="V456" s="1"/>
      <c r="W456" s="1"/>
      <c r="X456" s="1"/>
      <c r="AB456" s="1"/>
      <c r="AC456" s="1"/>
      <c r="AD456" s="1"/>
      <c r="AE456" s="1"/>
      <c r="AF456" s="1"/>
      <c r="AG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S457" s="1"/>
      <c r="T457" s="1"/>
      <c r="U457" s="1"/>
      <c r="V457" s="1"/>
      <c r="W457" s="1"/>
      <c r="X457" s="1"/>
      <c r="AB457" s="1"/>
      <c r="AC457" s="1"/>
      <c r="AD457" s="1"/>
      <c r="AE457" s="1"/>
      <c r="AF457" s="1"/>
      <c r="AG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S458" s="1"/>
      <c r="T458" s="1"/>
      <c r="U458" s="1"/>
      <c r="V458" s="1"/>
      <c r="W458" s="1"/>
      <c r="X458" s="1"/>
      <c r="AB458" s="1"/>
      <c r="AC458" s="1"/>
      <c r="AD458" s="1"/>
      <c r="AE458" s="1"/>
      <c r="AF458" s="1"/>
      <c r="AG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S459" s="1"/>
      <c r="T459" s="1"/>
      <c r="U459" s="1"/>
      <c r="V459" s="1"/>
      <c r="W459" s="1"/>
      <c r="X459" s="1"/>
      <c r="AB459" s="1"/>
      <c r="AC459" s="1"/>
      <c r="AD459" s="1"/>
      <c r="AE459" s="1"/>
      <c r="AF459" s="1"/>
      <c r="AG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S460" s="1"/>
      <c r="T460" s="1"/>
      <c r="U460" s="1"/>
      <c r="V460" s="1"/>
      <c r="W460" s="1"/>
      <c r="X460" s="1"/>
      <c r="AB460" s="1"/>
      <c r="AC460" s="1"/>
      <c r="AD460" s="1"/>
      <c r="AE460" s="1"/>
      <c r="AF460" s="1"/>
      <c r="AG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S461" s="1"/>
      <c r="T461" s="1"/>
      <c r="U461" s="1"/>
      <c r="V461" s="1"/>
      <c r="W461" s="1"/>
      <c r="X461" s="1"/>
      <c r="AB461" s="1"/>
      <c r="AC461" s="1"/>
      <c r="AD461" s="1"/>
      <c r="AE461" s="1"/>
      <c r="AF461" s="1"/>
      <c r="AG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S462" s="1"/>
      <c r="T462" s="1"/>
      <c r="U462" s="1"/>
      <c r="V462" s="1"/>
      <c r="W462" s="1"/>
      <c r="X462" s="1"/>
      <c r="AB462" s="1"/>
      <c r="AC462" s="1"/>
      <c r="AD462" s="1"/>
      <c r="AE462" s="1"/>
      <c r="AF462" s="1"/>
      <c r="AG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S463" s="1"/>
      <c r="T463" s="1"/>
      <c r="U463" s="1"/>
      <c r="V463" s="1"/>
      <c r="W463" s="1"/>
      <c r="X463" s="1"/>
      <c r="AB463" s="1"/>
      <c r="AC463" s="1"/>
      <c r="AD463" s="1"/>
      <c r="AE463" s="1"/>
      <c r="AF463" s="1"/>
      <c r="AG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S464" s="1"/>
      <c r="T464" s="1"/>
      <c r="U464" s="1"/>
      <c r="V464" s="1"/>
      <c r="W464" s="1"/>
      <c r="X464" s="1"/>
      <c r="AB464" s="1"/>
      <c r="AC464" s="1"/>
      <c r="AD464" s="1"/>
      <c r="AE464" s="1"/>
      <c r="AF464" s="1"/>
      <c r="AG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S465" s="1"/>
      <c r="T465" s="1"/>
      <c r="U465" s="1"/>
      <c r="V465" s="1"/>
      <c r="W465" s="1"/>
      <c r="X465" s="1"/>
      <c r="AB465" s="1"/>
      <c r="AC465" s="1"/>
      <c r="AD465" s="1"/>
      <c r="AE465" s="1"/>
      <c r="AF465" s="1"/>
      <c r="AG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S466" s="1"/>
      <c r="T466" s="1"/>
      <c r="U466" s="1"/>
      <c r="V466" s="1"/>
      <c r="W466" s="1"/>
      <c r="X466" s="1"/>
      <c r="AB466" s="1"/>
      <c r="AC466" s="1"/>
      <c r="AD466" s="1"/>
      <c r="AE466" s="1"/>
      <c r="AF466" s="1"/>
      <c r="AG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S467" s="1"/>
      <c r="T467" s="1"/>
      <c r="U467" s="1"/>
      <c r="V467" s="1"/>
      <c r="W467" s="1"/>
      <c r="X467" s="1"/>
      <c r="AB467" s="1"/>
      <c r="AC467" s="1"/>
      <c r="AD467" s="1"/>
      <c r="AE467" s="1"/>
      <c r="AF467" s="1"/>
      <c r="AG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S468" s="1"/>
      <c r="T468" s="1"/>
      <c r="U468" s="1"/>
      <c r="V468" s="1"/>
      <c r="W468" s="1"/>
      <c r="X468" s="1"/>
      <c r="AB468" s="1"/>
      <c r="AC468" s="1"/>
      <c r="AD468" s="1"/>
      <c r="AE468" s="1"/>
      <c r="AF468" s="1"/>
      <c r="AG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S469" s="1"/>
      <c r="T469" s="1"/>
      <c r="U469" s="1"/>
      <c r="V469" s="1"/>
      <c r="W469" s="1"/>
      <c r="X469" s="1"/>
      <c r="AB469" s="1"/>
      <c r="AC469" s="1"/>
      <c r="AD469" s="1"/>
      <c r="AE469" s="1"/>
      <c r="AF469" s="1"/>
      <c r="AG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S470" s="1"/>
      <c r="T470" s="1"/>
      <c r="U470" s="1"/>
      <c r="V470" s="1"/>
      <c r="W470" s="1"/>
      <c r="X470" s="1"/>
      <c r="AB470" s="1"/>
      <c r="AC470" s="1"/>
      <c r="AD470" s="1"/>
      <c r="AE470" s="1"/>
      <c r="AF470" s="1"/>
      <c r="AG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S471" s="1"/>
      <c r="T471" s="1"/>
      <c r="U471" s="1"/>
      <c r="V471" s="1"/>
      <c r="W471" s="1"/>
      <c r="X471" s="1"/>
      <c r="AB471" s="1"/>
      <c r="AC471" s="1"/>
      <c r="AD471" s="1"/>
      <c r="AE471" s="1"/>
      <c r="AF471" s="1"/>
      <c r="AG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S472" s="1"/>
      <c r="T472" s="1"/>
      <c r="U472" s="1"/>
      <c r="V472" s="1"/>
      <c r="W472" s="1"/>
      <c r="X472" s="1"/>
      <c r="AB472" s="1"/>
      <c r="AC472" s="1"/>
      <c r="AD472" s="1"/>
      <c r="AE472" s="1"/>
      <c r="AF472" s="1"/>
      <c r="AG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S473" s="1"/>
      <c r="T473" s="1"/>
      <c r="U473" s="1"/>
      <c r="V473" s="1"/>
      <c r="W473" s="1"/>
      <c r="X473" s="1"/>
      <c r="AB473" s="1"/>
      <c r="AC473" s="1"/>
      <c r="AD473" s="1"/>
      <c r="AE473" s="1"/>
      <c r="AF473" s="1"/>
      <c r="AG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S474" s="1"/>
      <c r="T474" s="1"/>
      <c r="U474" s="1"/>
      <c r="V474" s="1"/>
      <c r="W474" s="1"/>
      <c r="X474" s="1"/>
      <c r="AB474" s="1"/>
      <c r="AC474" s="1"/>
      <c r="AD474" s="1"/>
      <c r="AE474" s="1"/>
      <c r="AF474" s="1"/>
      <c r="AG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S475" s="1"/>
      <c r="T475" s="1"/>
      <c r="U475" s="1"/>
      <c r="V475" s="1"/>
      <c r="W475" s="1"/>
      <c r="X475" s="1"/>
      <c r="AB475" s="1"/>
      <c r="AC475" s="1"/>
      <c r="AD475" s="1"/>
      <c r="AE475" s="1"/>
      <c r="AF475" s="1"/>
      <c r="AG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S476" s="1"/>
      <c r="T476" s="1"/>
      <c r="U476" s="1"/>
      <c r="V476" s="1"/>
      <c r="W476" s="1"/>
      <c r="X476" s="1"/>
      <c r="AB476" s="1"/>
      <c r="AC476" s="1"/>
      <c r="AD476" s="1"/>
      <c r="AE476" s="1"/>
      <c r="AF476" s="1"/>
      <c r="AG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S477" s="1"/>
      <c r="T477" s="1"/>
      <c r="U477" s="1"/>
      <c r="V477" s="1"/>
      <c r="W477" s="1"/>
      <c r="X477" s="1"/>
      <c r="AB477" s="1"/>
      <c r="AC477" s="1"/>
      <c r="AD477" s="1"/>
      <c r="AE477" s="1"/>
      <c r="AF477" s="1"/>
      <c r="AG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S478" s="1"/>
      <c r="T478" s="1"/>
      <c r="U478" s="1"/>
      <c r="V478" s="1"/>
      <c r="W478" s="1"/>
      <c r="X478" s="1"/>
      <c r="AB478" s="1"/>
      <c r="AC478" s="1"/>
      <c r="AD478" s="1"/>
      <c r="AE478" s="1"/>
      <c r="AF478" s="1"/>
      <c r="AG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S479" s="1"/>
      <c r="T479" s="1"/>
      <c r="U479" s="1"/>
      <c r="V479" s="1"/>
      <c r="W479" s="1"/>
      <c r="X479" s="1"/>
      <c r="AB479" s="1"/>
      <c r="AC479" s="1"/>
      <c r="AD479" s="1"/>
      <c r="AE479" s="1"/>
      <c r="AF479" s="1"/>
      <c r="AG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S480" s="1"/>
      <c r="T480" s="1"/>
      <c r="U480" s="1"/>
      <c r="V480" s="1"/>
      <c r="W480" s="1"/>
      <c r="X480" s="1"/>
      <c r="AB480" s="1"/>
      <c r="AC480" s="1"/>
      <c r="AD480" s="1"/>
      <c r="AE480" s="1"/>
      <c r="AF480" s="1"/>
      <c r="AG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S481" s="1"/>
      <c r="T481" s="1"/>
      <c r="U481" s="1"/>
      <c r="V481" s="1"/>
      <c r="W481" s="1"/>
      <c r="X481" s="1"/>
      <c r="AB481" s="1"/>
      <c r="AC481" s="1"/>
      <c r="AD481" s="1"/>
      <c r="AE481" s="1"/>
      <c r="AF481" s="1"/>
      <c r="AG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S482" s="1"/>
      <c r="T482" s="1"/>
      <c r="U482" s="1"/>
      <c r="V482" s="1"/>
      <c r="W482" s="1"/>
      <c r="X482" s="1"/>
      <c r="AB482" s="1"/>
      <c r="AC482" s="1"/>
      <c r="AD482" s="1"/>
      <c r="AE482" s="1"/>
      <c r="AF482" s="1"/>
      <c r="AG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S483" s="1"/>
      <c r="T483" s="1"/>
      <c r="U483" s="1"/>
      <c r="V483" s="1"/>
      <c r="W483" s="1"/>
      <c r="X483" s="1"/>
      <c r="AB483" s="1"/>
      <c r="AC483" s="1"/>
      <c r="AD483" s="1"/>
      <c r="AE483" s="1"/>
      <c r="AF483" s="1"/>
      <c r="AG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S484" s="1"/>
      <c r="T484" s="1"/>
      <c r="U484" s="1"/>
      <c r="V484" s="1"/>
      <c r="W484" s="1"/>
      <c r="X484" s="1"/>
      <c r="AB484" s="1"/>
      <c r="AC484" s="1"/>
      <c r="AD484" s="1"/>
      <c r="AE484" s="1"/>
      <c r="AF484" s="1"/>
      <c r="AG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S485" s="1"/>
      <c r="T485" s="1"/>
      <c r="U485" s="1"/>
      <c r="V485" s="1"/>
      <c r="W485" s="1"/>
      <c r="X485" s="1"/>
      <c r="AB485" s="1"/>
      <c r="AC485" s="1"/>
      <c r="AD485" s="1"/>
      <c r="AE485" s="1"/>
      <c r="AF485" s="1"/>
      <c r="AG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S486" s="1"/>
      <c r="T486" s="1"/>
      <c r="U486" s="1"/>
      <c r="V486" s="1"/>
      <c r="W486" s="1"/>
      <c r="X486" s="1"/>
      <c r="AB486" s="1"/>
      <c r="AC486" s="1"/>
      <c r="AD486" s="1"/>
      <c r="AE486" s="1"/>
      <c r="AF486" s="1"/>
      <c r="AG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S487" s="1"/>
      <c r="T487" s="1"/>
      <c r="U487" s="1"/>
      <c r="V487" s="1"/>
      <c r="W487" s="1"/>
      <c r="X487" s="1"/>
      <c r="AB487" s="1"/>
      <c r="AC487" s="1"/>
      <c r="AD487" s="1"/>
      <c r="AE487" s="1"/>
      <c r="AF487" s="1"/>
      <c r="AG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S488" s="1"/>
      <c r="T488" s="1"/>
      <c r="U488" s="1"/>
      <c r="V488" s="1"/>
      <c r="W488" s="1"/>
      <c r="X488" s="1"/>
      <c r="AB488" s="1"/>
      <c r="AC488" s="1"/>
      <c r="AD488" s="1"/>
      <c r="AE488" s="1"/>
      <c r="AF488" s="1"/>
      <c r="AG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S489" s="1"/>
      <c r="T489" s="1"/>
      <c r="U489" s="1"/>
      <c r="V489" s="1"/>
      <c r="W489" s="1"/>
      <c r="X489" s="1"/>
      <c r="AB489" s="1"/>
      <c r="AC489" s="1"/>
      <c r="AD489" s="1"/>
      <c r="AE489" s="1"/>
      <c r="AF489" s="1"/>
      <c r="AG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S490" s="1"/>
      <c r="T490" s="1"/>
      <c r="U490" s="1"/>
      <c r="V490" s="1"/>
      <c r="W490" s="1"/>
      <c r="X490" s="1"/>
      <c r="AB490" s="1"/>
      <c r="AC490" s="1"/>
      <c r="AD490" s="1"/>
      <c r="AE490" s="1"/>
      <c r="AF490" s="1"/>
      <c r="AG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S491" s="1"/>
      <c r="T491" s="1"/>
      <c r="U491" s="1"/>
      <c r="V491" s="1"/>
      <c r="W491" s="1"/>
      <c r="X491" s="1"/>
      <c r="AB491" s="1"/>
      <c r="AC491" s="1"/>
      <c r="AD491" s="1"/>
      <c r="AE491" s="1"/>
      <c r="AF491" s="1"/>
      <c r="AG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S492" s="1"/>
      <c r="T492" s="1"/>
      <c r="U492" s="1"/>
      <c r="V492" s="1"/>
      <c r="W492" s="1"/>
      <c r="X492" s="1"/>
      <c r="AB492" s="1"/>
      <c r="AC492" s="1"/>
      <c r="AD492" s="1"/>
      <c r="AE492" s="1"/>
      <c r="AF492" s="1"/>
      <c r="AG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S493" s="1"/>
      <c r="T493" s="1"/>
      <c r="U493" s="1"/>
      <c r="V493" s="1"/>
      <c r="W493" s="1"/>
      <c r="X493" s="1"/>
      <c r="AB493" s="1"/>
      <c r="AC493" s="1"/>
      <c r="AD493" s="1"/>
      <c r="AE493" s="1"/>
      <c r="AF493" s="1"/>
      <c r="AG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S494" s="1"/>
      <c r="T494" s="1"/>
      <c r="U494" s="1"/>
      <c r="V494" s="1"/>
      <c r="W494" s="1"/>
      <c r="X494" s="1"/>
      <c r="AB494" s="1"/>
      <c r="AC494" s="1"/>
      <c r="AD494" s="1"/>
      <c r="AE494" s="1"/>
      <c r="AF494" s="1"/>
      <c r="AG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S495" s="1"/>
      <c r="T495" s="1"/>
      <c r="U495" s="1"/>
      <c r="V495" s="1"/>
      <c r="W495" s="1"/>
      <c r="X495" s="1"/>
      <c r="AB495" s="1"/>
      <c r="AC495" s="1"/>
      <c r="AD495" s="1"/>
      <c r="AE495" s="1"/>
      <c r="AF495" s="1"/>
      <c r="AG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S496" s="1"/>
      <c r="T496" s="1"/>
      <c r="U496" s="1"/>
      <c r="V496" s="1"/>
      <c r="W496" s="1"/>
      <c r="X496" s="1"/>
      <c r="AB496" s="1"/>
      <c r="AC496" s="1"/>
      <c r="AD496" s="1"/>
      <c r="AE496" s="1"/>
      <c r="AF496" s="1"/>
      <c r="AG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S497" s="1"/>
      <c r="T497" s="1"/>
      <c r="U497" s="1"/>
      <c r="V497" s="1"/>
      <c r="W497" s="1"/>
      <c r="X497" s="1"/>
      <c r="AB497" s="1"/>
      <c r="AC497" s="1"/>
      <c r="AD497" s="1"/>
      <c r="AE497" s="1"/>
      <c r="AF497" s="1"/>
      <c r="AG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S498" s="1"/>
      <c r="T498" s="1"/>
      <c r="U498" s="1"/>
      <c r="V498" s="1"/>
      <c r="W498" s="1"/>
      <c r="X498" s="1"/>
      <c r="AB498" s="1"/>
      <c r="AC498" s="1"/>
      <c r="AD498" s="1"/>
      <c r="AE498" s="1"/>
      <c r="AF498" s="1"/>
      <c r="AG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S499" s="1"/>
      <c r="T499" s="1"/>
      <c r="U499" s="1"/>
      <c r="V499" s="1"/>
      <c r="W499" s="1"/>
      <c r="X499" s="1"/>
      <c r="AB499" s="1"/>
      <c r="AC499" s="1"/>
      <c r="AD499" s="1"/>
      <c r="AE499" s="1"/>
      <c r="AF499" s="1"/>
      <c r="AG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S500" s="1"/>
      <c r="T500" s="1"/>
      <c r="U500" s="1"/>
      <c r="V500" s="1"/>
      <c r="W500" s="1"/>
      <c r="X500" s="1"/>
      <c r="AB500" s="1"/>
      <c r="AC500" s="1"/>
      <c r="AD500" s="1"/>
      <c r="AE500" s="1"/>
      <c r="AF500" s="1"/>
      <c r="AG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  <row r="501" spans="1:5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S501" s="1"/>
      <c r="T501" s="1"/>
      <c r="U501" s="1"/>
      <c r="V501" s="1"/>
      <c r="W501" s="1"/>
      <c r="X501" s="1"/>
      <c r="AB501" s="1"/>
      <c r="AC501" s="1"/>
      <c r="AD501" s="1"/>
      <c r="AE501" s="1"/>
      <c r="AF501" s="1"/>
      <c r="AG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</row>
    <row r="502" spans="1:5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S502" s="1"/>
      <c r="T502" s="1"/>
      <c r="U502" s="1"/>
      <c r="V502" s="1"/>
      <c r="W502" s="1"/>
      <c r="X502" s="1"/>
      <c r="AB502" s="1"/>
      <c r="AC502" s="1"/>
      <c r="AD502" s="1"/>
      <c r="AE502" s="1"/>
      <c r="AF502" s="1"/>
      <c r="AG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</row>
    <row r="503" spans="1:5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S503" s="1"/>
      <c r="T503" s="1"/>
      <c r="U503" s="1"/>
      <c r="V503" s="1"/>
      <c r="W503" s="1"/>
      <c r="X503" s="1"/>
      <c r="AB503" s="1"/>
      <c r="AC503" s="1"/>
      <c r="AD503" s="1"/>
      <c r="AE503" s="1"/>
      <c r="AF503" s="1"/>
      <c r="AG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</row>
    <row r="504" spans="1:5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S504" s="1"/>
      <c r="T504" s="1"/>
      <c r="U504" s="1"/>
      <c r="V504" s="1"/>
      <c r="W504" s="1"/>
      <c r="X504" s="1"/>
      <c r="AB504" s="1"/>
      <c r="AC504" s="1"/>
      <c r="AD504" s="1"/>
      <c r="AE504" s="1"/>
      <c r="AF504" s="1"/>
      <c r="AG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</row>
    <row r="505" spans="1:5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S505" s="1"/>
      <c r="T505" s="1"/>
      <c r="U505" s="1"/>
      <c r="V505" s="1"/>
      <c r="W505" s="1"/>
      <c r="X505" s="1"/>
      <c r="AB505" s="1"/>
      <c r="AC505" s="1"/>
      <c r="AD505" s="1"/>
      <c r="AE505" s="1"/>
      <c r="AF505" s="1"/>
      <c r="AG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</row>
    <row r="506" spans="1:5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S506" s="1"/>
      <c r="T506" s="1"/>
      <c r="U506" s="1"/>
      <c r="V506" s="1"/>
      <c r="W506" s="1"/>
      <c r="X506" s="1"/>
      <c r="AB506" s="1"/>
      <c r="AC506" s="1"/>
      <c r="AD506" s="1"/>
      <c r="AE506" s="1"/>
      <c r="AF506" s="1"/>
      <c r="AG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</row>
    <row r="507" spans="1:5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S507" s="1"/>
      <c r="T507" s="1"/>
      <c r="U507" s="1"/>
      <c r="V507" s="1"/>
      <c r="W507" s="1"/>
      <c r="X507" s="1"/>
      <c r="AB507" s="1"/>
      <c r="AC507" s="1"/>
      <c r="AD507" s="1"/>
      <c r="AE507" s="1"/>
      <c r="AF507" s="1"/>
      <c r="AG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</row>
    <row r="508" spans="1:5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S508" s="1"/>
      <c r="T508" s="1"/>
      <c r="U508" s="1"/>
      <c r="V508" s="1"/>
      <c r="W508" s="1"/>
      <c r="X508" s="1"/>
      <c r="AB508" s="1"/>
      <c r="AC508" s="1"/>
      <c r="AD508" s="1"/>
      <c r="AE508" s="1"/>
      <c r="AF508" s="1"/>
      <c r="AG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</row>
    <row r="509" spans="1:5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S509" s="1"/>
      <c r="T509" s="1"/>
      <c r="U509" s="1"/>
      <c r="V509" s="1"/>
      <c r="W509" s="1"/>
      <c r="X509" s="1"/>
      <c r="AB509" s="1"/>
      <c r="AC509" s="1"/>
      <c r="AD509" s="1"/>
      <c r="AE509" s="1"/>
      <c r="AF509" s="1"/>
      <c r="AG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</row>
    <row r="510" spans="1:5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S510" s="1"/>
      <c r="T510" s="1"/>
      <c r="U510" s="1"/>
      <c r="V510" s="1"/>
      <c r="W510" s="1"/>
      <c r="X510" s="1"/>
      <c r="AB510" s="1"/>
      <c r="AC510" s="1"/>
      <c r="AD510" s="1"/>
      <c r="AE510" s="1"/>
      <c r="AF510" s="1"/>
      <c r="AG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</row>
    <row r="511" spans="1:5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S511" s="1"/>
      <c r="T511" s="1"/>
      <c r="U511" s="1"/>
      <c r="V511" s="1"/>
      <c r="W511" s="1"/>
      <c r="X511" s="1"/>
      <c r="AB511" s="1"/>
      <c r="AC511" s="1"/>
      <c r="AD511" s="1"/>
      <c r="AE511" s="1"/>
      <c r="AF511" s="1"/>
      <c r="AG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</row>
    <row r="512" spans="1:5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S512" s="1"/>
      <c r="T512" s="1"/>
      <c r="U512" s="1"/>
      <c r="V512" s="1"/>
      <c r="W512" s="1"/>
      <c r="X512" s="1"/>
      <c r="AB512" s="1"/>
      <c r="AC512" s="1"/>
      <c r="AD512" s="1"/>
      <c r="AE512" s="1"/>
      <c r="AF512" s="1"/>
      <c r="AG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</row>
    <row r="513" spans="1:5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S513" s="1"/>
      <c r="T513" s="1"/>
      <c r="U513" s="1"/>
      <c r="V513" s="1"/>
      <c r="W513" s="1"/>
      <c r="X513" s="1"/>
      <c r="AB513" s="1"/>
      <c r="AC513" s="1"/>
      <c r="AD513" s="1"/>
      <c r="AE513" s="1"/>
      <c r="AF513" s="1"/>
      <c r="AG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</row>
    <row r="514" spans="1:5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S514" s="1"/>
      <c r="T514" s="1"/>
      <c r="U514" s="1"/>
      <c r="V514" s="1"/>
      <c r="W514" s="1"/>
      <c r="X514" s="1"/>
      <c r="AB514" s="1"/>
      <c r="AC514" s="1"/>
      <c r="AD514" s="1"/>
      <c r="AE514" s="1"/>
      <c r="AF514" s="1"/>
      <c r="AG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</row>
    <row r="515" spans="1:5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S515" s="1"/>
      <c r="T515" s="1"/>
      <c r="U515" s="1"/>
      <c r="V515" s="1"/>
      <c r="W515" s="1"/>
      <c r="X515" s="1"/>
      <c r="AB515" s="1"/>
      <c r="AC515" s="1"/>
      <c r="AD515" s="1"/>
      <c r="AE515" s="1"/>
      <c r="AF515" s="1"/>
      <c r="AG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</row>
    <row r="516" spans="1:5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S516" s="1"/>
      <c r="T516" s="1"/>
      <c r="U516" s="1"/>
      <c r="V516" s="1"/>
      <c r="W516" s="1"/>
      <c r="X516" s="1"/>
      <c r="AB516" s="1"/>
      <c r="AC516" s="1"/>
      <c r="AD516" s="1"/>
      <c r="AE516" s="1"/>
      <c r="AF516" s="1"/>
      <c r="AG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</row>
    <row r="517" spans="1:5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S517" s="1"/>
      <c r="T517" s="1"/>
      <c r="U517" s="1"/>
      <c r="V517" s="1"/>
      <c r="W517" s="1"/>
      <c r="X517" s="1"/>
      <c r="AB517" s="1"/>
      <c r="AC517" s="1"/>
      <c r="AD517" s="1"/>
      <c r="AE517" s="1"/>
      <c r="AF517" s="1"/>
      <c r="AG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</row>
    <row r="518" spans="1:5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S518" s="1"/>
      <c r="T518" s="1"/>
      <c r="U518" s="1"/>
      <c r="V518" s="1"/>
      <c r="W518" s="1"/>
      <c r="X518" s="1"/>
      <c r="AB518" s="1"/>
      <c r="AC518" s="1"/>
      <c r="AD518" s="1"/>
      <c r="AE518" s="1"/>
      <c r="AF518" s="1"/>
      <c r="AG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</row>
    <row r="519" spans="1:5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S519" s="1"/>
      <c r="T519" s="1"/>
      <c r="U519" s="1"/>
      <c r="V519" s="1"/>
      <c r="W519" s="1"/>
      <c r="X519" s="1"/>
      <c r="AB519" s="1"/>
      <c r="AC519" s="1"/>
      <c r="AD519" s="1"/>
      <c r="AE519" s="1"/>
      <c r="AF519" s="1"/>
      <c r="AG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</row>
    <row r="520" spans="1:5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S520" s="1"/>
      <c r="T520" s="1"/>
      <c r="U520" s="1"/>
      <c r="V520" s="1"/>
      <c r="W520" s="1"/>
      <c r="X520" s="1"/>
      <c r="AB520" s="1"/>
      <c r="AC520" s="1"/>
      <c r="AD520" s="1"/>
      <c r="AE520" s="1"/>
      <c r="AF520" s="1"/>
      <c r="AG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</row>
    <row r="521" spans="1:5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S521" s="1"/>
      <c r="T521" s="1"/>
      <c r="U521" s="1"/>
      <c r="V521" s="1"/>
      <c r="W521" s="1"/>
      <c r="X521" s="1"/>
      <c r="AB521" s="1"/>
      <c r="AC521" s="1"/>
      <c r="AD521" s="1"/>
      <c r="AE521" s="1"/>
      <c r="AF521" s="1"/>
      <c r="AG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</row>
    <row r="522" spans="1:5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S522" s="1"/>
      <c r="T522" s="1"/>
      <c r="U522" s="1"/>
      <c r="V522" s="1"/>
      <c r="W522" s="1"/>
      <c r="X522" s="1"/>
      <c r="AB522" s="1"/>
      <c r="AC522" s="1"/>
      <c r="AD522" s="1"/>
      <c r="AE522" s="1"/>
      <c r="AF522" s="1"/>
      <c r="AG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</row>
    <row r="523" spans="1:5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S523" s="1"/>
      <c r="T523" s="1"/>
      <c r="U523" s="1"/>
      <c r="V523" s="1"/>
      <c r="W523" s="1"/>
      <c r="X523" s="1"/>
      <c r="AB523" s="1"/>
      <c r="AC523" s="1"/>
      <c r="AD523" s="1"/>
      <c r="AE523" s="1"/>
      <c r="AF523" s="1"/>
      <c r="AG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</row>
    <row r="524" spans="1:5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S524" s="1"/>
      <c r="T524" s="1"/>
      <c r="U524" s="1"/>
      <c r="V524" s="1"/>
      <c r="W524" s="1"/>
      <c r="X524" s="1"/>
      <c r="AB524" s="1"/>
      <c r="AC524" s="1"/>
      <c r="AD524" s="1"/>
      <c r="AE524" s="1"/>
      <c r="AF524" s="1"/>
      <c r="AG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</row>
    <row r="525" spans="1:5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S525" s="1"/>
      <c r="T525" s="1"/>
      <c r="U525" s="1"/>
      <c r="V525" s="1"/>
      <c r="W525" s="1"/>
      <c r="X525" s="1"/>
      <c r="AB525" s="1"/>
      <c r="AC525" s="1"/>
      <c r="AD525" s="1"/>
      <c r="AE525" s="1"/>
      <c r="AF525" s="1"/>
      <c r="AG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</row>
    <row r="526" spans="1:5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S526" s="1"/>
      <c r="T526" s="1"/>
      <c r="U526" s="1"/>
      <c r="V526" s="1"/>
      <c r="W526" s="1"/>
      <c r="X526" s="1"/>
      <c r="AB526" s="1"/>
      <c r="AC526" s="1"/>
      <c r="AD526" s="1"/>
      <c r="AE526" s="1"/>
      <c r="AF526" s="1"/>
      <c r="AG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</row>
    <row r="527" spans="1:5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S527" s="1"/>
      <c r="T527" s="1"/>
      <c r="U527" s="1"/>
      <c r="V527" s="1"/>
      <c r="W527" s="1"/>
      <c r="X527" s="1"/>
      <c r="AB527" s="1"/>
      <c r="AC527" s="1"/>
      <c r="AD527" s="1"/>
      <c r="AE527" s="1"/>
      <c r="AF527" s="1"/>
      <c r="AG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</row>
    <row r="528" spans="1:5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S528" s="1"/>
      <c r="T528" s="1"/>
      <c r="U528" s="1"/>
      <c r="V528" s="1"/>
      <c r="W528" s="1"/>
      <c r="X528" s="1"/>
      <c r="AB528" s="1"/>
      <c r="AC528" s="1"/>
      <c r="AD528" s="1"/>
      <c r="AE528" s="1"/>
      <c r="AF528" s="1"/>
      <c r="AG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</row>
    <row r="529" spans="1:5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S529" s="1"/>
      <c r="T529" s="1"/>
      <c r="U529" s="1"/>
      <c r="V529" s="1"/>
      <c r="W529" s="1"/>
      <c r="X529" s="1"/>
      <c r="AB529" s="1"/>
      <c r="AC529" s="1"/>
      <c r="AD529" s="1"/>
      <c r="AE529" s="1"/>
      <c r="AF529" s="1"/>
      <c r="AG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</row>
    <row r="530" spans="1:5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S530" s="1"/>
      <c r="T530" s="1"/>
      <c r="U530" s="1"/>
      <c r="V530" s="1"/>
      <c r="W530" s="1"/>
      <c r="X530" s="1"/>
      <c r="AB530" s="1"/>
      <c r="AC530" s="1"/>
      <c r="AD530" s="1"/>
      <c r="AE530" s="1"/>
      <c r="AF530" s="1"/>
      <c r="AG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</row>
    <row r="531" spans="1:5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S531" s="1"/>
      <c r="T531" s="1"/>
      <c r="U531" s="1"/>
      <c r="V531" s="1"/>
      <c r="W531" s="1"/>
      <c r="X531" s="1"/>
      <c r="AB531" s="1"/>
      <c r="AC531" s="1"/>
      <c r="AD531" s="1"/>
      <c r="AE531" s="1"/>
      <c r="AF531" s="1"/>
      <c r="AG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</row>
    <row r="532" spans="1:5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S532" s="1"/>
      <c r="T532" s="1"/>
      <c r="U532" s="1"/>
      <c r="V532" s="1"/>
      <c r="W532" s="1"/>
      <c r="X532" s="1"/>
      <c r="AB532" s="1"/>
      <c r="AC532" s="1"/>
      <c r="AD532" s="1"/>
      <c r="AE532" s="1"/>
      <c r="AF532" s="1"/>
      <c r="AG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</row>
    <row r="533" spans="1:5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S533" s="1"/>
      <c r="T533" s="1"/>
      <c r="U533" s="1"/>
      <c r="V533" s="1"/>
      <c r="W533" s="1"/>
      <c r="X533" s="1"/>
      <c r="AB533" s="1"/>
      <c r="AC533" s="1"/>
      <c r="AD533" s="1"/>
      <c r="AE533" s="1"/>
      <c r="AF533" s="1"/>
      <c r="AG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</row>
    <row r="534" spans="1:5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S534" s="1"/>
      <c r="T534" s="1"/>
      <c r="U534" s="1"/>
      <c r="V534" s="1"/>
      <c r="W534" s="1"/>
      <c r="X534" s="1"/>
      <c r="AB534" s="1"/>
      <c r="AC534" s="1"/>
      <c r="AD534" s="1"/>
      <c r="AE534" s="1"/>
      <c r="AF534" s="1"/>
      <c r="AG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</row>
    <row r="535" spans="1:5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S535" s="1"/>
      <c r="T535" s="1"/>
      <c r="U535" s="1"/>
      <c r="V535" s="1"/>
      <c r="W535" s="1"/>
      <c r="X535" s="1"/>
      <c r="AB535" s="1"/>
      <c r="AC535" s="1"/>
      <c r="AD535" s="1"/>
      <c r="AE535" s="1"/>
      <c r="AF535" s="1"/>
      <c r="AG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</row>
    <row r="536" spans="1:5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S536" s="1"/>
      <c r="T536" s="1"/>
      <c r="U536" s="1"/>
      <c r="V536" s="1"/>
      <c r="W536" s="1"/>
      <c r="X536" s="1"/>
      <c r="AB536" s="1"/>
      <c r="AC536" s="1"/>
      <c r="AD536" s="1"/>
      <c r="AE536" s="1"/>
      <c r="AF536" s="1"/>
      <c r="AG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</row>
    <row r="537" spans="1:5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S537" s="1"/>
      <c r="T537" s="1"/>
      <c r="U537" s="1"/>
      <c r="V537" s="1"/>
      <c r="W537" s="1"/>
      <c r="X537" s="1"/>
      <c r="AB537" s="1"/>
      <c r="AC537" s="1"/>
      <c r="AD537" s="1"/>
      <c r="AE537" s="1"/>
      <c r="AF537" s="1"/>
      <c r="AG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</row>
    <row r="538" spans="1:5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S538" s="1"/>
      <c r="T538" s="1"/>
      <c r="U538" s="1"/>
      <c r="V538" s="1"/>
      <c r="W538" s="1"/>
      <c r="X538" s="1"/>
      <c r="AB538" s="1"/>
      <c r="AC538" s="1"/>
      <c r="AD538" s="1"/>
      <c r="AE538" s="1"/>
      <c r="AF538" s="1"/>
      <c r="AG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</row>
    <row r="539" spans="1:5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S539" s="1"/>
      <c r="T539" s="1"/>
      <c r="U539" s="1"/>
      <c r="V539" s="1"/>
      <c r="W539" s="1"/>
      <c r="X539" s="1"/>
      <c r="AB539" s="1"/>
      <c r="AC539" s="1"/>
      <c r="AD539" s="1"/>
      <c r="AE539" s="1"/>
      <c r="AF539" s="1"/>
      <c r="AG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</row>
    <row r="540" spans="1:5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S540" s="1"/>
      <c r="T540" s="1"/>
      <c r="U540" s="1"/>
      <c r="V540" s="1"/>
      <c r="W540" s="1"/>
      <c r="X540" s="1"/>
      <c r="AB540" s="1"/>
      <c r="AC540" s="1"/>
      <c r="AD540" s="1"/>
      <c r="AE540" s="1"/>
      <c r="AF540" s="1"/>
      <c r="AG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</row>
    <row r="541" spans="1:5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S541" s="1"/>
      <c r="T541" s="1"/>
      <c r="U541" s="1"/>
      <c r="V541" s="1"/>
      <c r="W541" s="1"/>
      <c r="X541" s="1"/>
      <c r="AB541" s="1"/>
      <c r="AC541" s="1"/>
      <c r="AD541" s="1"/>
      <c r="AE541" s="1"/>
      <c r="AF541" s="1"/>
      <c r="AG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</row>
    <row r="542" spans="1:5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S542" s="1"/>
      <c r="T542" s="1"/>
      <c r="U542" s="1"/>
      <c r="V542" s="1"/>
      <c r="W542" s="1"/>
      <c r="X542" s="1"/>
      <c r="AB542" s="1"/>
      <c r="AC542" s="1"/>
      <c r="AD542" s="1"/>
      <c r="AE542" s="1"/>
      <c r="AF542" s="1"/>
      <c r="AG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</row>
    <row r="543" spans="1:5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S543" s="1"/>
      <c r="T543" s="1"/>
      <c r="U543" s="1"/>
      <c r="V543" s="1"/>
      <c r="W543" s="1"/>
      <c r="X543" s="1"/>
      <c r="AB543" s="1"/>
      <c r="AC543" s="1"/>
      <c r="AD543" s="1"/>
      <c r="AE543" s="1"/>
      <c r="AF543" s="1"/>
      <c r="AG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</row>
    <row r="544" spans="1:5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S544" s="1"/>
      <c r="T544" s="1"/>
      <c r="U544" s="1"/>
      <c r="V544" s="1"/>
      <c r="W544" s="1"/>
      <c r="X544" s="1"/>
      <c r="AB544" s="1"/>
      <c r="AC544" s="1"/>
      <c r="AD544" s="1"/>
      <c r="AE544" s="1"/>
      <c r="AF544" s="1"/>
      <c r="AG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</row>
    <row r="545" spans="1:5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S545" s="1"/>
      <c r="T545" s="1"/>
      <c r="U545" s="1"/>
      <c r="V545" s="1"/>
      <c r="W545" s="1"/>
      <c r="X545" s="1"/>
      <c r="AB545" s="1"/>
      <c r="AC545" s="1"/>
      <c r="AD545" s="1"/>
      <c r="AE545" s="1"/>
      <c r="AF545" s="1"/>
      <c r="AG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</row>
    <row r="546" spans="1:5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S546" s="1"/>
      <c r="T546" s="1"/>
      <c r="U546" s="1"/>
      <c r="V546" s="1"/>
      <c r="W546" s="1"/>
      <c r="X546" s="1"/>
      <c r="AB546" s="1"/>
      <c r="AC546" s="1"/>
      <c r="AD546" s="1"/>
      <c r="AE546" s="1"/>
      <c r="AF546" s="1"/>
      <c r="AG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</row>
    <row r="547" spans="1:5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S547" s="1"/>
      <c r="T547" s="1"/>
      <c r="U547" s="1"/>
      <c r="V547" s="1"/>
      <c r="W547" s="1"/>
      <c r="X547" s="1"/>
      <c r="AB547" s="1"/>
      <c r="AC547" s="1"/>
      <c r="AD547" s="1"/>
      <c r="AE547" s="1"/>
      <c r="AF547" s="1"/>
      <c r="AG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</row>
    <row r="548" spans="1:5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S548" s="1"/>
      <c r="T548" s="1"/>
      <c r="U548" s="1"/>
      <c r="V548" s="1"/>
      <c r="W548" s="1"/>
      <c r="X548" s="1"/>
      <c r="AB548" s="1"/>
      <c r="AC548" s="1"/>
      <c r="AD548" s="1"/>
      <c r="AE548" s="1"/>
      <c r="AF548" s="1"/>
      <c r="AG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</row>
    <row r="549" spans="1:5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S549" s="1"/>
      <c r="T549" s="1"/>
      <c r="U549" s="1"/>
      <c r="V549" s="1"/>
      <c r="W549" s="1"/>
      <c r="X549" s="1"/>
      <c r="AB549" s="1"/>
      <c r="AC549" s="1"/>
      <c r="AD549" s="1"/>
      <c r="AE549" s="1"/>
      <c r="AF549" s="1"/>
      <c r="AG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</row>
    <row r="550" spans="1:5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S550" s="1"/>
      <c r="T550" s="1"/>
      <c r="U550" s="1"/>
      <c r="V550" s="1"/>
      <c r="W550" s="1"/>
      <c r="X550" s="1"/>
      <c r="AB550" s="1"/>
      <c r="AC550" s="1"/>
      <c r="AD550" s="1"/>
      <c r="AE550" s="1"/>
      <c r="AF550" s="1"/>
      <c r="AG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</row>
    <row r="551" spans="1:5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S551" s="1"/>
      <c r="T551" s="1"/>
      <c r="U551" s="1"/>
      <c r="V551" s="1"/>
      <c r="W551" s="1"/>
      <c r="X551" s="1"/>
      <c r="AB551" s="1"/>
      <c r="AC551" s="1"/>
      <c r="AD551" s="1"/>
      <c r="AE551" s="1"/>
      <c r="AF551" s="1"/>
      <c r="AG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</row>
    <row r="552" spans="1:5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S552" s="1"/>
      <c r="T552" s="1"/>
      <c r="U552" s="1"/>
      <c r="V552" s="1"/>
      <c r="W552" s="1"/>
      <c r="X552" s="1"/>
      <c r="AB552" s="1"/>
      <c r="AC552" s="1"/>
      <c r="AD552" s="1"/>
      <c r="AE552" s="1"/>
      <c r="AF552" s="1"/>
      <c r="AG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</row>
    <row r="553" spans="1:5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S553" s="1"/>
      <c r="T553" s="1"/>
      <c r="U553" s="1"/>
      <c r="V553" s="1"/>
      <c r="W553" s="1"/>
      <c r="X553" s="1"/>
      <c r="AB553" s="1"/>
      <c r="AC553" s="1"/>
      <c r="AD553" s="1"/>
      <c r="AE553" s="1"/>
      <c r="AF553" s="1"/>
      <c r="AG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</row>
    <row r="554" spans="1:5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S554" s="1"/>
      <c r="T554" s="1"/>
      <c r="U554" s="1"/>
      <c r="V554" s="1"/>
      <c r="W554" s="1"/>
      <c r="X554" s="1"/>
      <c r="AB554" s="1"/>
      <c r="AC554" s="1"/>
      <c r="AD554" s="1"/>
      <c r="AE554" s="1"/>
      <c r="AF554" s="1"/>
      <c r="AG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</row>
    <row r="555" spans="1:5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S555" s="1"/>
      <c r="T555" s="1"/>
      <c r="U555" s="1"/>
      <c r="V555" s="1"/>
      <c r="W555" s="1"/>
      <c r="X555" s="1"/>
      <c r="AB555" s="1"/>
      <c r="AC555" s="1"/>
      <c r="AD555" s="1"/>
      <c r="AE555" s="1"/>
      <c r="AF555" s="1"/>
      <c r="AG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</row>
    <row r="556" spans="1:5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S556" s="1"/>
      <c r="T556" s="1"/>
      <c r="U556" s="1"/>
      <c r="V556" s="1"/>
      <c r="W556" s="1"/>
      <c r="X556" s="1"/>
      <c r="AB556" s="1"/>
      <c r="AC556" s="1"/>
      <c r="AD556" s="1"/>
      <c r="AE556" s="1"/>
      <c r="AF556" s="1"/>
      <c r="AG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</row>
    <row r="557" spans="1:5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S557" s="1"/>
      <c r="T557" s="1"/>
      <c r="U557" s="1"/>
      <c r="V557" s="1"/>
      <c r="W557" s="1"/>
      <c r="X557" s="1"/>
      <c r="AB557" s="1"/>
      <c r="AC557" s="1"/>
      <c r="AD557" s="1"/>
      <c r="AE557" s="1"/>
      <c r="AF557" s="1"/>
      <c r="AG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</row>
    <row r="558" spans="1:5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S558" s="1"/>
      <c r="T558" s="1"/>
      <c r="U558" s="1"/>
      <c r="V558" s="1"/>
      <c r="W558" s="1"/>
      <c r="X558" s="1"/>
      <c r="AB558" s="1"/>
      <c r="AC558" s="1"/>
      <c r="AD558" s="1"/>
      <c r="AE558" s="1"/>
      <c r="AF558" s="1"/>
      <c r="AG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</row>
    <row r="559" spans="1:5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S559" s="1"/>
      <c r="T559" s="1"/>
      <c r="U559" s="1"/>
      <c r="V559" s="1"/>
      <c r="W559" s="1"/>
      <c r="X559" s="1"/>
      <c r="AB559" s="1"/>
      <c r="AC559" s="1"/>
      <c r="AD559" s="1"/>
      <c r="AE559" s="1"/>
      <c r="AF559" s="1"/>
      <c r="AG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</row>
    <row r="560" spans="1:5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S560" s="1"/>
      <c r="T560" s="1"/>
      <c r="U560" s="1"/>
      <c r="V560" s="1"/>
      <c r="W560" s="1"/>
      <c r="X560" s="1"/>
      <c r="AB560" s="1"/>
      <c r="AC560" s="1"/>
      <c r="AD560" s="1"/>
      <c r="AE560" s="1"/>
      <c r="AF560" s="1"/>
      <c r="AG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</row>
    <row r="561" spans="1:5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S561" s="1"/>
      <c r="T561" s="1"/>
      <c r="U561" s="1"/>
      <c r="V561" s="1"/>
      <c r="W561" s="1"/>
      <c r="X561" s="1"/>
      <c r="AB561" s="1"/>
      <c r="AC561" s="1"/>
      <c r="AD561" s="1"/>
      <c r="AE561" s="1"/>
      <c r="AF561" s="1"/>
      <c r="AG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</row>
    <row r="562" spans="1:5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S562" s="1"/>
      <c r="T562" s="1"/>
      <c r="U562" s="1"/>
      <c r="V562" s="1"/>
      <c r="W562" s="1"/>
      <c r="X562" s="1"/>
      <c r="AB562" s="1"/>
      <c r="AC562" s="1"/>
      <c r="AD562" s="1"/>
      <c r="AE562" s="1"/>
      <c r="AF562" s="1"/>
      <c r="AG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</row>
    <row r="563" spans="1:5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S563" s="1"/>
      <c r="T563" s="1"/>
      <c r="U563" s="1"/>
      <c r="V563" s="1"/>
      <c r="W563" s="1"/>
      <c r="X563" s="1"/>
      <c r="AB563" s="1"/>
      <c r="AC563" s="1"/>
      <c r="AD563" s="1"/>
      <c r="AE563" s="1"/>
      <c r="AF563" s="1"/>
      <c r="AG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</row>
    <row r="564" spans="1:5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S564" s="1"/>
      <c r="T564" s="1"/>
      <c r="U564" s="1"/>
      <c r="V564" s="1"/>
      <c r="W564" s="1"/>
      <c r="X564" s="1"/>
      <c r="AB564" s="1"/>
      <c r="AC564" s="1"/>
      <c r="AD564" s="1"/>
      <c r="AE564" s="1"/>
      <c r="AF564" s="1"/>
      <c r="AG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</row>
    <row r="565" spans="1:5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S565" s="1"/>
      <c r="T565" s="1"/>
      <c r="U565" s="1"/>
      <c r="V565" s="1"/>
      <c r="W565" s="1"/>
      <c r="X565" s="1"/>
      <c r="AB565" s="1"/>
      <c r="AC565" s="1"/>
      <c r="AD565" s="1"/>
      <c r="AE565" s="1"/>
      <c r="AF565" s="1"/>
      <c r="AG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</row>
    <row r="566" spans="1:5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S566" s="1"/>
      <c r="T566" s="1"/>
      <c r="U566" s="1"/>
      <c r="V566" s="1"/>
      <c r="W566" s="1"/>
      <c r="X566" s="1"/>
      <c r="AB566" s="1"/>
      <c r="AC566" s="1"/>
      <c r="AD566" s="1"/>
      <c r="AE566" s="1"/>
      <c r="AF566" s="1"/>
      <c r="AG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</row>
    <row r="567" spans="1:5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S567" s="1"/>
      <c r="T567" s="1"/>
      <c r="U567" s="1"/>
      <c r="V567" s="1"/>
      <c r="W567" s="1"/>
      <c r="X567" s="1"/>
      <c r="AB567" s="1"/>
      <c r="AC567" s="1"/>
      <c r="AD567" s="1"/>
      <c r="AE567" s="1"/>
      <c r="AF567" s="1"/>
      <c r="AG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</row>
    <row r="568" spans="1:5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S568" s="1"/>
      <c r="T568" s="1"/>
      <c r="U568" s="1"/>
      <c r="V568" s="1"/>
      <c r="W568" s="1"/>
      <c r="X568" s="1"/>
      <c r="AB568" s="1"/>
      <c r="AC568" s="1"/>
      <c r="AD568" s="1"/>
      <c r="AE568" s="1"/>
      <c r="AF568" s="1"/>
      <c r="AG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</row>
    <row r="569" spans="1:5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S569" s="1"/>
      <c r="T569" s="1"/>
      <c r="U569" s="1"/>
      <c r="V569" s="1"/>
      <c r="W569" s="1"/>
      <c r="X569" s="1"/>
      <c r="AB569" s="1"/>
      <c r="AC569" s="1"/>
      <c r="AD569" s="1"/>
      <c r="AE569" s="1"/>
      <c r="AF569" s="1"/>
      <c r="AG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</row>
    <row r="570" spans="1:5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S570" s="1"/>
      <c r="T570" s="1"/>
      <c r="U570" s="1"/>
      <c r="V570" s="1"/>
      <c r="W570" s="1"/>
      <c r="X570" s="1"/>
      <c r="AB570" s="1"/>
      <c r="AC570" s="1"/>
      <c r="AD570" s="1"/>
      <c r="AE570" s="1"/>
      <c r="AF570" s="1"/>
      <c r="AG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</row>
    <row r="571" spans="1:5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S571" s="1"/>
      <c r="T571" s="1"/>
      <c r="U571" s="1"/>
      <c r="V571" s="1"/>
      <c r="W571" s="1"/>
      <c r="X571" s="1"/>
      <c r="AB571" s="1"/>
      <c r="AC571" s="1"/>
      <c r="AD571" s="1"/>
      <c r="AE571" s="1"/>
      <c r="AF571" s="1"/>
      <c r="AG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</row>
    <row r="572" spans="1:5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S572" s="1"/>
      <c r="T572" s="1"/>
      <c r="U572" s="1"/>
      <c r="V572" s="1"/>
      <c r="W572" s="1"/>
      <c r="X572" s="1"/>
      <c r="AB572" s="1"/>
      <c r="AC572" s="1"/>
      <c r="AD572" s="1"/>
      <c r="AE572" s="1"/>
      <c r="AF572" s="1"/>
      <c r="AG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</row>
    <row r="573" spans="1:5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S573" s="1"/>
      <c r="T573" s="1"/>
      <c r="U573" s="1"/>
      <c r="V573" s="1"/>
      <c r="W573" s="1"/>
      <c r="X573" s="1"/>
      <c r="AB573" s="1"/>
      <c r="AC573" s="1"/>
      <c r="AD573" s="1"/>
      <c r="AE573" s="1"/>
      <c r="AF573" s="1"/>
      <c r="AG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</row>
    <row r="574" spans="1:5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S574" s="1"/>
      <c r="T574" s="1"/>
      <c r="U574" s="1"/>
      <c r="V574" s="1"/>
      <c r="W574" s="1"/>
      <c r="X574" s="1"/>
      <c r="AB574" s="1"/>
      <c r="AC574" s="1"/>
      <c r="AD574" s="1"/>
      <c r="AE574" s="1"/>
      <c r="AF574" s="1"/>
      <c r="AG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</row>
    <row r="575" spans="1:5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S575" s="1"/>
      <c r="T575" s="1"/>
      <c r="U575" s="1"/>
      <c r="V575" s="1"/>
      <c r="W575" s="1"/>
      <c r="X575" s="1"/>
      <c r="AB575" s="1"/>
      <c r="AC575" s="1"/>
      <c r="AD575" s="1"/>
      <c r="AE575" s="1"/>
      <c r="AF575" s="1"/>
      <c r="AG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</row>
    <row r="576" spans="1:5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S576" s="1"/>
      <c r="T576" s="1"/>
      <c r="U576" s="1"/>
      <c r="V576" s="1"/>
      <c r="W576" s="1"/>
      <c r="X576" s="1"/>
      <c r="AB576" s="1"/>
      <c r="AC576" s="1"/>
      <c r="AD576" s="1"/>
      <c r="AE576" s="1"/>
      <c r="AF576" s="1"/>
      <c r="AG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</row>
    <row r="577" spans="1:5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S577" s="1"/>
      <c r="T577" s="1"/>
      <c r="U577" s="1"/>
      <c r="V577" s="1"/>
      <c r="W577" s="1"/>
      <c r="X577" s="1"/>
      <c r="AB577" s="1"/>
      <c r="AC577" s="1"/>
      <c r="AD577" s="1"/>
      <c r="AE577" s="1"/>
      <c r="AF577" s="1"/>
      <c r="AG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</row>
    <row r="578" spans="1:5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S578" s="1"/>
      <c r="T578" s="1"/>
      <c r="U578" s="1"/>
      <c r="V578" s="1"/>
      <c r="W578" s="1"/>
      <c r="X578" s="1"/>
      <c r="AB578" s="1"/>
      <c r="AC578" s="1"/>
      <c r="AD578" s="1"/>
      <c r="AE578" s="1"/>
      <c r="AF578" s="1"/>
      <c r="AG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</row>
    <row r="579" spans="1:5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S579" s="1"/>
      <c r="T579" s="1"/>
      <c r="U579" s="1"/>
      <c r="V579" s="1"/>
      <c r="W579" s="1"/>
      <c r="X579" s="1"/>
      <c r="AB579" s="1"/>
      <c r="AC579" s="1"/>
      <c r="AD579" s="1"/>
      <c r="AE579" s="1"/>
      <c r="AF579" s="1"/>
      <c r="AG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</row>
    <row r="580" spans="1:5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S580" s="1"/>
      <c r="T580" s="1"/>
      <c r="U580" s="1"/>
      <c r="V580" s="1"/>
      <c r="W580" s="1"/>
      <c r="X580" s="1"/>
      <c r="AB580" s="1"/>
      <c r="AC580" s="1"/>
      <c r="AD580" s="1"/>
      <c r="AE580" s="1"/>
      <c r="AF580" s="1"/>
      <c r="AG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</row>
    <row r="581" spans="1:5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S581" s="1"/>
      <c r="T581" s="1"/>
      <c r="U581" s="1"/>
      <c r="V581" s="1"/>
      <c r="W581" s="1"/>
      <c r="X581" s="1"/>
      <c r="AB581" s="1"/>
      <c r="AC581" s="1"/>
      <c r="AD581" s="1"/>
      <c r="AE581" s="1"/>
      <c r="AF581" s="1"/>
      <c r="AG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</row>
    <row r="582" spans="1:5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S582" s="1"/>
      <c r="T582" s="1"/>
      <c r="U582" s="1"/>
      <c r="V582" s="1"/>
      <c r="W582" s="1"/>
      <c r="X582" s="1"/>
      <c r="AB582" s="1"/>
      <c r="AC582" s="1"/>
      <c r="AD582" s="1"/>
      <c r="AE582" s="1"/>
      <c r="AF582" s="1"/>
      <c r="AG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</row>
    <row r="583" spans="1:5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S583" s="1"/>
      <c r="T583" s="1"/>
      <c r="U583" s="1"/>
      <c r="V583" s="1"/>
      <c r="W583" s="1"/>
      <c r="X583" s="1"/>
      <c r="AB583" s="1"/>
      <c r="AC583" s="1"/>
      <c r="AD583" s="1"/>
      <c r="AE583" s="1"/>
      <c r="AF583" s="1"/>
      <c r="AG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</row>
    <row r="584" spans="1:5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S584" s="1"/>
      <c r="T584" s="1"/>
      <c r="U584" s="1"/>
      <c r="V584" s="1"/>
      <c r="W584" s="1"/>
      <c r="X584" s="1"/>
      <c r="AB584" s="1"/>
      <c r="AC584" s="1"/>
      <c r="AD584" s="1"/>
      <c r="AE584" s="1"/>
      <c r="AF584" s="1"/>
      <c r="AG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</row>
    <row r="585" spans="1:5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S585" s="1"/>
      <c r="T585" s="1"/>
      <c r="U585" s="1"/>
      <c r="V585" s="1"/>
      <c r="W585" s="1"/>
      <c r="X585" s="1"/>
      <c r="AB585" s="1"/>
      <c r="AC585" s="1"/>
      <c r="AD585" s="1"/>
      <c r="AE585" s="1"/>
      <c r="AF585" s="1"/>
      <c r="AG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</row>
    <row r="586" spans="1:5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S586" s="1"/>
      <c r="T586" s="1"/>
      <c r="U586" s="1"/>
      <c r="V586" s="1"/>
      <c r="W586" s="1"/>
      <c r="X586" s="1"/>
      <c r="AB586" s="1"/>
      <c r="AC586" s="1"/>
      <c r="AD586" s="1"/>
      <c r="AE586" s="1"/>
      <c r="AF586" s="1"/>
      <c r="AG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</row>
    <row r="587" spans="1:5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S587" s="1"/>
      <c r="T587" s="1"/>
      <c r="U587" s="1"/>
      <c r="V587" s="1"/>
      <c r="W587" s="1"/>
      <c r="X587" s="1"/>
      <c r="AB587" s="1"/>
      <c r="AC587" s="1"/>
      <c r="AD587" s="1"/>
      <c r="AE587" s="1"/>
      <c r="AF587" s="1"/>
      <c r="AG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</row>
    <row r="588" spans="1:5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S588" s="1"/>
      <c r="T588" s="1"/>
      <c r="U588" s="1"/>
      <c r="V588" s="1"/>
      <c r="W588" s="1"/>
      <c r="X588" s="1"/>
      <c r="AB588" s="1"/>
      <c r="AC588" s="1"/>
      <c r="AD588" s="1"/>
      <c r="AE588" s="1"/>
      <c r="AF588" s="1"/>
      <c r="AG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</row>
    <row r="589" spans="1:5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S589" s="1"/>
      <c r="T589" s="1"/>
      <c r="U589" s="1"/>
      <c r="V589" s="1"/>
      <c r="W589" s="1"/>
      <c r="X589" s="1"/>
      <c r="AB589" s="1"/>
      <c r="AC589" s="1"/>
      <c r="AD589" s="1"/>
      <c r="AE589" s="1"/>
      <c r="AF589" s="1"/>
      <c r="AG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</row>
    <row r="590" spans="1:5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S590" s="1"/>
      <c r="T590" s="1"/>
      <c r="U590" s="1"/>
      <c r="V590" s="1"/>
      <c r="W590" s="1"/>
      <c r="X590" s="1"/>
      <c r="AB590" s="1"/>
      <c r="AC590" s="1"/>
      <c r="AD590" s="1"/>
      <c r="AE590" s="1"/>
      <c r="AF590" s="1"/>
      <c r="AG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</row>
    <row r="591" spans="1:5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S591" s="1"/>
      <c r="T591" s="1"/>
      <c r="U591" s="1"/>
      <c r="V591" s="1"/>
      <c r="W591" s="1"/>
      <c r="X591" s="1"/>
      <c r="AB591" s="1"/>
      <c r="AC591" s="1"/>
      <c r="AD591" s="1"/>
      <c r="AE591" s="1"/>
      <c r="AF591" s="1"/>
      <c r="AG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</row>
    <row r="592" spans="1:5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S592" s="1"/>
      <c r="T592" s="1"/>
      <c r="U592" s="1"/>
      <c r="V592" s="1"/>
      <c r="W592" s="1"/>
      <c r="X592" s="1"/>
      <c r="AB592" s="1"/>
      <c r="AC592" s="1"/>
      <c r="AD592" s="1"/>
      <c r="AE592" s="1"/>
      <c r="AF592" s="1"/>
      <c r="AG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</row>
    <row r="593" spans="1:5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S593" s="1"/>
      <c r="T593" s="1"/>
      <c r="U593" s="1"/>
      <c r="V593" s="1"/>
      <c r="W593" s="1"/>
      <c r="X593" s="1"/>
      <c r="AB593" s="1"/>
      <c r="AC593" s="1"/>
      <c r="AD593" s="1"/>
      <c r="AE593" s="1"/>
      <c r="AF593" s="1"/>
      <c r="AG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</row>
    <row r="594" spans="1:5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S594" s="1"/>
      <c r="T594" s="1"/>
      <c r="U594" s="1"/>
      <c r="V594" s="1"/>
      <c r="W594" s="1"/>
      <c r="X594" s="1"/>
      <c r="AB594" s="1"/>
      <c r="AC594" s="1"/>
      <c r="AD594" s="1"/>
      <c r="AE594" s="1"/>
      <c r="AF594" s="1"/>
      <c r="AG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</row>
    <row r="595" spans="1:5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S595" s="1"/>
      <c r="T595" s="1"/>
      <c r="U595" s="1"/>
      <c r="V595" s="1"/>
      <c r="W595" s="1"/>
      <c r="X595" s="1"/>
      <c r="AB595" s="1"/>
      <c r="AC595" s="1"/>
      <c r="AD595" s="1"/>
      <c r="AE595" s="1"/>
      <c r="AF595" s="1"/>
      <c r="AG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</row>
    <row r="596" spans="1:5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S596" s="1"/>
      <c r="T596" s="1"/>
      <c r="U596" s="1"/>
      <c r="V596" s="1"/>
      <c r="W596" s="1"/>
      <c r="X596" s="1"/>
      <c r="AB596" s="1"/>
      <c r="AC596" s="1"/>
      <c r="AD596" s="1"/>
      <c r="AE596" s="1"/>
      <c r="AF596" s="1"/>
      <c r="AG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</row>
    <row r="597" spans="1:5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S597" s="1"/>
      <c r="T597" s="1"/>
      <c r="U597" s="1"/>
      <c r="V597" s="1"/>
      <c r="W597" s="1"/>
      <c r="X597" s="1"/>
      <c r="AB597" s="1"/>
      <c r="AC597" s="1"/>
      <c r="AD597" s="1"/>
      <c r="AE597" s="1"/>
      <c r="AF597" s="1"/>
      <c r="AG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</row>
    <row r="598" spans="1:5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S598" s="1"/>
      <c r="T598" s="1"/>
      <c r="U598" s="1"/>
      <c r="V598" s="1"/>
      <c r="W598" s="1"/>
      <c r="X598" s="1"/>
      <c r="AB598" s="1"/>
      <c r="AC598" s="1"/>
      <c r="AD598" s="1"/>
      <c r="AE598" s="1"/>
      <c r="AF598" s="1"/>
      <c r="AG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</row>
    <row r="599" spans="1:5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S599" s="1"/>
      <c r="T599" s="1"/>
      <c r="U599" s="1"/>
      <c r="V599" s="1"/>
      <c r="W599" s="1"/>
      <c r="X599" s="1"/>
      <c r="AB599" s="1"/>
      <c r="AC599" s="1"/>
      <c r="AD599" s="1"/>
      <c r="AE599" s="1"/>
      <c r="AF599" s="1"/>
      <c r="AG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</row>
    <row r="600" spans="1:5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S600" s="1"/>
      <c r="T600" s="1"/>
      <c r="U600" s="1"/>
      <c r="V600" s="1"/>
      <c r="W600" s="1"/>
      <c r="X600" s="1"/>
      <c r="AB600" s="1"/>
      <c r="AC600" s="1"/>
      <c r="AD600" s="1"/>
      <c r="AE600" s="1"/>
      <c r="AF600" s="1"/>
      <c r="AG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</row>
    <row r="601" spans="1:5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S601" s="1"/>
      <c r="T601" s="1"/>
      <c r="U601" s="1"/>
      <c r="V601" s="1"/>
      <c r="W601" s="1"/>
      <c r="X601" s="1"/>
      <c r="AB601" s="1"/>
      <c r="AC601" s="1"/>
      <c r="AD601" s="1"/>
      <c r="AE601" s="1"/>
      <c r="AF601" s="1"/>
      <c r="AG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</row>
    <row r="602" spans="1:5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S602" s="1"/>
      <c r="T602" s="1"/>
      <c r="U602" s="1"/>
      <c r="V602" s="1"/>
      <c r="W602" s="1"/>
      <c r="X602" s="1"/>
      <c r="AB602" s="1"/>
      <c r="AC602" s="1"/>
      <c r="AD602" s="1"/>
      <c r="AE602" s="1"/>
      <c r="AF602" s="1"/>
      <c r="AG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</row>
    <row r="603" spans="1:5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S603" s="1"/>
      <c r="T603" s="1"/>
      <c r="U603" s="1"/>
      <c r="V603" s="1"/>
      <c r="W603" s="1"/>
      <c r="X603" s="1"/>
      <c r="AB603" s="1"/>
      <c r="AC603" s="1"/>
      <c r="AD603" s="1"/>
      <c r="AE603" s="1"/>
      <c r="AF603" s="1"/>
      <c r="AG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</row>
    <row r="604" spans="1:5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S604" s="1"/>
      <c r="T604" s="1"/>
      <c r="U604" s="1"/>
      <c r="V604" s="1"/>
      <c r="W604" s="1"/>
      <c r="X604" s="1"/>
      <c r="AB604" s="1"/>
      <c r="AC604" s="1"/>
      <c r="AD604" s="1"/>
      <c r="AE604" s="1"/>
      <c r="AF604" s="1"/>
      <c r="AG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</row>
    <row r="605" spans="1:5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S605" s="1"/>
      <c r="T605" s="1"/>
      <c r="U605" s="1"/>
      <c r="V605" s="1"/>
      <c r="W605" s="1"/>
      <c r="X605" s="1"/>
      <c r="AB605" s="1"/>
      <c r="AC605" s="1"/>
      <c r="AD605" s="1"/>
      <c r="AE605" s="1"/>
      <c r="AF605" s="1"/>
      <c r="AG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</row>
    <row r="606" spans="1:5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S606" s="1"/>
      <c r="T606" s="1"/>
      <c r="U606" s="1"/>
      <c r="V606" s="1"/>
      <c r="W606" s="1"/>
      <c r="X606" s="1"/>
      <c r="AB606" s="1"/>
      <c r="AC606" s="1"/>
      <c r="AD606" s="1"/>
      <c r="AE606" s="1"/>
      <c r="AF606" s="1"/>
      <c r="AG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</row>
    <row r="607" spans="1:5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S607" s="1"/>
      <c r="T607" s="1"/>
      <c r="U607" s="1"/>
      <c r="V607" s="1"/>
      <c r="W607" s="1"/>
      <c r="X607" s="1"/>
      <c r="AB607" s="1"/>
      <c r="AC607" s="1"/>
      <c r="AD607" s="1"/>
      <c r="AE607" s="1"/>
      <c r="AF607" s="1"/>
      <c r="AG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</row>
    <row r="608" spans="1:5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S608" s="1"/>
      <c r="T608" s="1"/>
      <c r="U608" s="1"/>
      <c r="V608" s="1"/>
      <c r="W608" s="1"/>
      <c r="X608" s="1"/>
      <c r="AB608" s="1"/>
      <c r="AC608" s="1"/>
      <c r="AD608" s="1"/>
      <c r="AE608" s="1"/>
      <c r="AF608" s="1"/>
      <c r="AG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</row>
    <row r="609" spans="1:5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S609" s="1"/>
      <c r="T609" s="1"/>
      <c r="U609" s="1"/>
      <c r="V609" s="1"/>
      <c r="W609" s="1"/>
      <c r="X609" s="1"/>
      <c r="AB609" s="1"/>
      <c r="AC609" s="1"/>
      <c r="AD609" s="1"/>
      <c r="AE609" s="1"/>
      <c r="AF609" s="1"/>
      <c r="AG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</row>
    <row r="610" spans="1:5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S610" s="1"/>
      <c r="T610" s="1"/>
      <c r="U610" s="1"/>
      <c r="V610" s="1"/>
      <c r="W610" s="1"/>
      <c r="X610" s="1"/>
      <c r="AB610" s="1"/>
      <c r="AC610" s="1"/>
      <c r="AD610" s="1"/>
      <c r="AE610" s="1"/>
      <c r="AF610" s="1"/>
      <c r="AG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</row>
    <row r="611" spans="1:5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S611" s="1"/>
      <c r="T611" s="1"/>
      <c r="U611" s="1"/>
      <c r="V611" s="1"/>
      <c r="W611" s="1"/>
      <c r="X611" s="1"/>
      <c r="AB611" s="1"/>
      <c r="AC611" s="1"/>
      <c r="AD611" s="1"/>
      <c r="AE611" s="1"/>
      <c r="AF611" s="1"/>
      <c r="AG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</row>
    <row r="612" spans="1:5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S612" s="1"/>
      <c r="T612" s="1"/>
      <c r="U612" s="1"/>
      <c r="V612" s="1"/>
      <c r="W612" s="1"/>
      <c r="X612" s="1"/>
      <c r="AB612" s="1"/>
      <c r="AC612" s="1"/>
      <c r="AD612" s="1"/>
      <c r="AE612" s="1"/>
      <c r="AF612" s="1"/>
      <c r="AG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</row>
    <row r="613" spans="1:5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S613" s="1"/>
      <c r="T613" s="1"/>
      <c r="U613" s="1"/>
      <c r="V613" s="1"/>
      <c r="W613" s="1"/>
      <c r="X613" s="1"/>
      <c r="AB613" s="1"/>
      <c r="AC613" s="1"/>
      <c r="AD613" s="1"/>
      <c r="AE613" s="1"/>
      <c r="AF613" s="1"/>
      <c r="AG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</row>
    <row r="614" spans="1:5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S614" s="1"/>
      <c r="T614" s="1"/>
      <c r="U614" s="1"/>
      <c r="V614" s="1"/>
      <c r="W614" s="1"/>
      <c r="X614" s="1"/>
      <c r="AB614" s="1"/>
      <c r="AC614" s="1"/>
      <c r="AD614" s="1"/>
      <c r="AE614" s="1"/>
      <c r="AF614" s="1"/>
      <c r="AG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</row>
    <row r="615" spans="1:5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S615" s="1"/>
      <c r="T615" s="1"/>
      <c r="U615" s="1"/>
      <c r="V615" s="1"/>
      <c r="W615" s="1"/>
      <c r="X615" s="1"/>
      <c r="AB615" s="1"/>
      <c r="AC615" s="1"/>
      <c r="AD615" s="1"/>
      <c r="AE615" s="1"/>
      <c r="AF615" s="1"/>
      <c r="AG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</row>
    <row r="616" spans="1:5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S616" s="1"/>
      <c r="T616" s="1"/>
      <c r="U616" s="1"/>
      <c r="V616" s="1"/>
      <c r="W616" s="1"/>
      <c r="X616" s="1"/>
      <c r="AB616" s="1"/>
      <c r="AC616" s="1"/>
      <c r="AD616" s="1"/>
      <c r="AE616" s="1"/>
      <c r="AF616" s="1"/>
      <c r="AG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</row>
    <row r="617" spans="1:5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S617" s="1"/>
      <c r="T617" s="1"/>
      <c r="U617" s="1"/>
      <c r="V617" s="1"/>
      <c r="W617" s="1"/>
      <c r="X617" s="1"/>
      <c r="AB617" s="1"/>
      <c r="AC617" s="1"/>
      <c r="AD617" s="1"/>
      <c r="AE617" s="1"/>
      <c r="AF617" s="1"/>
      <c r="AG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</row>
    <row r="618" spans="1:5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S618" s="1"/>
      <c r="T618" s="1"/>
      <c r="U618" s="1"/>
      <c r="V618" s="1"/>
      <c r="W618" s="1"/>
      <c r="X618" s="1"/>
      <c r="AB618" s="1"/>
      <c r="AC618" s="1"/>
      <c r="AD618" s="1"/>
      <c r="AE618" s="1"/>
      <c r="AF618" s="1"/>
      <c r="AG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</row>
    <row r="619" spans="1:5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S619" s="1"/>
      <c r="T619" s="1"/>
      <c r="U619" s="1"/>
      <c r="V619" s="1"/>
      <c r="W619" s="1"/>
      <c r="X619" s="1"/>
      <c r="AB619" s="1"/>
      <c r="AC619" s="1"/>
      <c r="AD619" s="1"/>
      <c r="AE619" s="1"/>
      <c r="AF619" s="1"/>
      <c r="AG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</row>
    <row r="620" spans="1:5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S620" s="1"/>
      <c r="T620" s="1"/>
      <c r="U620" s="1"/>
      <c r="V620" s="1"/>
      <c r="W620" s="1"/>
      <c r="X620" s="1"/>
      <c r="AB620" s="1"/>
      <c r="AC620" s="1"/>
      <c r="AD620" s="1"/>
      <c r="AE620" s="1"/>
      <c r="AF620" s="1"/>
      <c r="AG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</row>
    <row r="621" spans="1:5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S621" s="1"/>
      <c r="T621" s="1"/>
      <c r="U621" s="1"/>
      <c r="V621" s="1"/>
      <c r="W621" s="1"/>
      <c r="X621" s="1"/>
      <c r="AB621" s="1"/>
      <c r="AC621" s="1"/>
      <c r="AD621" s="1"/>
      <c r="AE621" s="1"/>
      <c r="AF621" s="1"/>
      <c r="AG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</row>
    <row r="622" spans="1:5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S622" s="1"/>
      <c r="T622" s="1"/>
      <c r="U622" s="1"/>
      <c r="V622" s="1"/>
      <c r="W622" s="1"/>
      <c r="X622" s="1"/>
      <c r="AB622" s="1"/>
      <c r="AC622" s="1"/>
      <c r="AD622" s="1"/>
      <c r="AE622" s="1"/>
      <c r="AF622" s="1"/>
      <c r="AG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</row>
    <row r="623" spans="1:5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S623" s="1"/>
      <c r="T623" s="1"/>
      <c r="U623" s="1"/>
      <c r="V623" s="1"/>
      <c r="W623" s="1"/>
      <c r="X623" s="1"/>
      <c r="AB623" s="1"/>
      <c r="AC623" s="1"/>
      <c r="AD623" s="1"/>
      <c r="AE623" s="1"/>
      <c r="AF623" s="1"/>
      <c r="AG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</row>
    <row r="624" spans="1:5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S624" s="1"/>
      <c r="T624" s="1"/>
      <c r="U624" s="1"/>
      <c r="V624" s="1"/>
      <c r="W624" s="1"/>
      <c r="X624" s="1"/>
      <c r="AB624" s="1"/>
      <c r="AC624" s="1"/>
      <c r="AD624" s="1"/>
      <c r="AE624" s="1"/>
      <c r="AF624" s="1"/>
      <c r="AG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</row>
    <row r="625" spans="1:5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S625" s="1"/>
      <c r="T625" s="1"/>
      <c r="U625" s="1"/>
      <c r="V625" s="1"/>
      <c r="W625" s="1"/>
      <c r="X625" s="1"/>
      <c r="AB625" s="1"/>
      <c r="AC625" s="1"/>
      <c r="AD625" s="1"/>
      <c r="AE625" s="1"/>
      <c r="AF625" s="1"/>
      <c r="AG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</row>
    <row r="626" spans="1:5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S626" s="1"/>
      <c r="T626" s="1"/>
      <c r="U626" s="1"/>
      <c r="V626" s="1"/>
      <c r="W626" s="1"/>
      <c r="X626" s="1"/>
      <c r="AB626" s="1"/>
      <c r="AC626" s="1"/>
      <c r="AD626" s="1"/>
      <c r="AE626" s="1"/>
      <c r="AF626" s="1"/>
      <c r="AG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</row>
    <row r="627" spans="1:5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S627" s="1"/>
      <c r="T627" s="1"/>
      <c r="U627" s="1"/>
      <c r="V627" s="1"/>
      <c r="W627" s="1"/>
      <c r="X627" s="1"/>
      <c r="AB627" s="1"/>
      <c r="AC627" s="1"/>
      <c r="AD627" s="1"/>
      <c r="AE627" s="1"/>
      <c r="AF627" s="1"/>
      <c r="AG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</row>
    <row r="628" spans="1:5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S628" s="1"/>
      <c r="T628" s="1"/>
      <c r="U628" s="1"/>
      <c r="V628" s="1"/>
      <c r="W628" s="1"/>
      <c r="X628" s="1"/>
      <c r="AB628" s="1"/>
      <c r="AC628" s="1"/>
      <c r="AD628" s="1"/>
      <c r="AE628" s="1"/>
      <c r="AF628" s="1"/>
      <c r="AG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</row>
    <row r="629" spans="1:5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S629" s="1"/>
      <c r="T629" s="1"/>
      <c r="U629" s="1"/>
      <c r="V629" s="1"/>
      <c r="W629" s="1"/>
      <c r="X629" s="1"/>
      <c r="AB629" s="1"/>
      <c r="AC629" s="1"/>
      <c r="AD629" s="1"/>
      <c r="AE629" s="1"/>
      <c r="AF629" s="1"/>
      <c r="AG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</row>
    <row r="630" spans="1:5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S630" s="1"/>
      <c r="T630" s="1"/>
      <c r="U630" s="1"/>
      <c r="V630" s="1"/>
      <c r="W630" s="1"/>
      <c r="X630" s="1"/>
      <c r="AB630" s="1"/>
      <c r="AC630" s="1"/>
      <c r="AD630" s="1"/>
      <c r="AE630" s="1"/>
      <c r="AF630" s="1"/>
      <c r="AG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</row>
    <row r="631" spans="1:5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S631" s="1"/>
      <c r="T631" s="1"/>
      <c r="U631" s="1"/>
      <c r="V631" s="1"/>
      <c r="W631" s="1"/>
      <c r="X631" s="1"/>
      <c r="AB631" s="1"/>
      <c r="AC631" s="1"/>
      <c r="AD631" s="1"/>
      <c r="AE631" s="1"/>
      <c r="AF631" s="1"/>
      <c r="AG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</row>
    <row r="632" spans="1:5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S632" s="1"/>
      <c r="T632" s="1"/>
      <c r="U632" s="1"/>
      <c r="V632" s="1"/>
      <c r="W632" s="1"/>
      <c r="X632" s="1"/>
      <c r="AB632" s="1"/>
      <c r="AC632" s="1"/>
      <c r="AD632" s="1"/>
      <c r="AE632" s="1"/>
      <c r="AF632" s="1"/>
      <c r="AG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</row>
    <row r="633" spans="1:5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S633" s="1"/>
      <c r="T633" s="1"/>
      <c r="U633" s="1"/>
      <c r="V633" s="1"/>
      <c r="W633" s="1"/>
      <c r="X633" s="1"/>
      <c r="AB633" s="1"/>
      <c r="AC633" s="1"/>
      <c r="AD633" s="1"/>
      <c r="AE633" s="1"/>
      <c r="AF633" s="1"/>
      <c r="AG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</row>
    <row r="634" spans="1:5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S634" s="1"/>
      <c r="T634" s="1"/>
      <c r="U634" s="1"/>
      <c r="V634" s="1"/>
      <c r="W634" s="1"/>
      <c r="X634" s="1"/>
      <c r="AB634" s="1"/>
      <c r="AC634" s="1"/>
      <c r="AD634" s="1"/>
      <c r="AE634" s="1"/>
      <c r="AF634" s="1"/>
      <c r="AG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</row>
    <row r="635" spans="1:5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S635" s="1"/>
      <c r="T635" s="1"/>
      <c r="U635" s="1"/>
      <c r="V635" s="1"/>
      <c r="W635" s="1"/>
      <c r="X635" s="1"/>
      <c r="AB635" s="1"/>
      <c r="AC635" s="1"/>
      <c r="AD635" s="1"/>
      <c r="AE635" s="1"/>
      <c r="AF635" s="1"/>
      <c r="AG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</row>
    <row r="636" spans="1:5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S636" s="1"/>
      <c r="T636" s="1"/>
      <c r="U636" s="1"/>
      <c r="V636" s="1"/>
      <c r="W636" s="1"/>
      <c r="X636" s="1"/>
      <c r="AB636" s="1"/>
      <c r="AC636" s="1"/>
      <c r="AD636" s="1"/>
      <c r="AE636" s="1"/>
      <c r="AF636" s="1"/>
      <c r="AG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</row>
    <row r="637" spans="1:5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S637" s="1"/>
      <c r="T637" s="1"/>
      <c r="U637" s="1"/>
      <c r="V637" s="1"/>
      <c r="W637" s="1"/>
      <c r="X637" s="1"/>
      <c r="AB637" s="1"/>
      <c r="AC637" s="1"/>
      <c r="AD637" s="1"/>
      <c r="AE637" s="1"/>
      <c r="AF637" s="1"/>
      <c r="AG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</row>
    <row r="638" spans="1:5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S638" s="1"/>
      <c r="T638" s="1"/>
      <c r="U638" s="1"/>
      <c r="V638" s="1"/>
      <c r="W638" s="1"/>
      <c r="X638" s="1"/>
      <c r="AB638" s="1"/>
      <c r="AC638" s="1"/>
      <c r="AD638" s="1"/>
      <c r="AE638" s="1"/>
      <c r="AF638" s="1"/>
      <c r="AG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</row>
    <row r="639" spans="1:5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S639" s="1"/>
      <c r="T639" s="1"/>
      <c r="U639" s="1"/>
      <c r="V639" s="1"/>
      <c r="W639" s="1"/>
      <c r="X639" s="1"/>
      <c r="AB639" s="1"/>
      <c r="AC639" s="1"/>
      <c r="AD639" s="1"/>
      <c r="AE639" s="1"/>
      <c r="AF639" s="1"/>
      <c r="AG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</row>
    <row r="640" spans="1:5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S640" s="1"/>
      <c r="T640" s="1"/>
      <c r="U640" s="1"/>
      <c r="V640" s="1"/>
      <c r="W640" s="1"/>
      <c r="X640" s="1"/>
      <c r="AB640" s="1"/>
      <c r="AC640" s="1"/>
      <c r="AD640" s="1"/>
      <c r="AE640" s="1"/>
      <c r="AF640" s="1"/>
      <c r="AG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</row>
    <row r="641" spans="1:5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S641" s="1"/>
      <c r="T641" s="1"/>
      <c r="U641" s="1"/>
      <c r="V641" s="1"/>
      <c r="W641" s="1"/>
      <c r="X641" s="1"/>
      <c r="AB641" s="1"/>
      <c r="AC641" s="1"/>
      <c r="AD641" s="1"/>
      <c r="AE641" s="1"/>
      <c r="AF641" s="1"/>
      <c r="AG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</row>
    <row r="642" spans="1:5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S642" s="1"/>
      <c r="T642" s="1"/>
      <c r="U642" s="1"/>
      <c r="V642" s="1"/>
      <c r="W642" s="1"/>
      <c r="X642" s="1"/>
      <c r="AB642" s="1"/>
      <c r="AC642" s="1"/>
      <c r="AD642" s="1"/>
      <c r="AE642" s="1"/>
      <c r="AF642" s="1"/>
      <c r="AG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</row>
    <row r="643" spans="1:5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S643" s="1"/>
      <c r="T643" s="1"/>
      <c r="U643" s="1"/>
      <c r="V643" s="1"/>
      <c r="W643" s="1"/>
      <c r="X643" s="1"/>
      <c r="AB643" s="1"/>
      <c r="AC643" s="1"/>
      <c r="AD643" s="1"/>
      <c r="AE643" s="1"/>
      <c r="AF643" s="1"/>
      <c r="AG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</row>
    <row r="644" spans="1:5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S644" s="1"/>
      <c r="T644" s="1"/>
      <c r="U644" s="1"/>
      <c r="V644" s="1"/>
      <c r="W644" s="1"/>
      <c r="X644" s="1"/>
      <c r="AB644" s="1"/>
      <c r="AC644" s="1"/>
      <c r="AD644" s="1"/>
      <c r="AE644" s="1"/>
      <c r="AF644" s="1"/>
      <c r="AG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</row>
    <row r="645" spans="1:5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S645" s="1"/>
      <c r="T645" s="1"/>
      <c r="U645" s="1"/>
      <c r="V645" s="1"/>
      <c r="W645" s="1"/>
      <c r="X645" s="1"/>
      <c r="AB645" s="1"/>
      <c r="AC645" s="1"/>
      <c r="AD645" s="1"/>
      <c r="AE645" s="1"/>
      <c r="AF645" s="1"/>
      <c r="AG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</row>
    <row r="646" spans="1:5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S646" s="1"/>
      <c r="T646" s="1"/>
      <c r="U646" s="1"/>
      <c r="V646" s="1"/>
      <c r="W646" s="1"/>
      <c r="X646" s="1"/>
      <c r="AB646" s="1"/>
      <c r="AC646" s="1"/>
      <c r="AD646" s="1"/>
      <c r="AE646" s="1"/>
      <c r="AF646" s="1"/>
      <c r="AG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</row>
    <row r="647" spans="1:5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S647" s="1"/>
      <c r="T647" s="1"/>
      <c r="U647" s="1"/>
      <c r="V647" s="1"/>
      <c r="W647" s="1"/>
      <c r="X647" s="1"/>
      <c r="AB647" s="1"/>
      <c r="AC647" s="1"/>
      <c r="AD647" s="1"/>
      <c r="AE647" s="1"/>
      <c r="AF647" s="1"/>
      <c r="AG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</row>
    <row r="648" spans="1:5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S648" s="1"/>
      <c r="T648" s="1"/>
      <c r="U648" s="1"/>
      <c r="V648" s="1"/>
      <c r="W648" s="1"/>
      <c r="X648" s="1"/>
      <c r="AB648" s="1"/>
      <c r="AC648" s="1"/>
      <c r="AD648" s="1"/>
      <c r="AE648" s="1"/>
      <c r="AF648" s="1"/>
      <c r="AG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</row>
    <row r="649" spans="1:5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S649" s="1"/>
      <c r="T649" s="1"/>
      <c r="U649" s="1"/>
      <c r="V649" s="1"/>
      <c r="W649" s="1"/>
      <c r="X649" s="1"/>
      <c r="AB649" s="1"/>
      <c r="AC649" s="1"/>
      <c r="AD649" s="1"/>
      <c r="AE649" s="1"/>
      <c r="AF649" s="1"/>
      <c r="AG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</row>
    <row r="650" spans="1:5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S650" s="1"/>
      <c r="T650" s="1"/>
      <c r="U650" s="1"/>
      <c r="V650" s="1"/>
      <c r="W650" s="1"/>
      <c r="X650" s="1"/>
      <c r="AB650" s="1"/>
      <c r="AC650" s="1"/>
      <c r="AD650" s="1"/>
      <c r="AE650" s="1"/>
      <c r="AF650" s="1"/>
      <c r="AG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</row>
    <row r="651" spans="1:5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S651" s="1"/>
      <c r="T651" s="1"/>
      <c r="U651" s="1"/>
      <c r="V651" s="1"/>
      <c r="W651" s="1"/>
      <c r="X651" s="1"/>
      <c r="AB651" s="1"/>
      <c r="AC651" s="1"/>
      <c r="AD651" s="1"/>
      <c r="AE651" s="1"/>
      <c r="AF651" s="1"/>
      <c r="AG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</row>
    <row r="652" spans="1:5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S652" s="1"/>
      <c r="T652" s="1"/>
      <c r="U652" s="1"/>
      <c r="V652" s="1"/>
      <c r="W652" s="1"/>
      <c r="X652" s="1"/>
      <c r="AB652" s="1"/>
      <c r="AC652" s="1"/>
      <c r="AD652" s="1"/>
      <c r="AE652" s="1"/>
      <c r="AF652" s="1"/>
      <c r="AG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</row>
    <row r="653" spans="1:5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S653" s="1"/>
      <c r="T653" s="1"/>
      <c r="U653" s="1"/>
      <c r="V653" s="1"/>
      <c r="W653" s="1"/>
      <c r="X653" s="1"/>
      <c r="AB653" s="1"/>
      <c r="AC653" s="1"/>
      <c r="AD653" s="1"/>
      <c r="AE653" s="1"/>
      <c r="AF653" s="1"/>
      <c r="AG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</row>
    <row r="654" spans="1:5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S654" s="1"/>
      <c r="T654" s="1"/>
      <c r="U654" s="1"/>
      <c r="V654" s="1"/>
      <c r="W654" s="1"/>
      <c r="X654" s="1"/>
      <c r="AB654" s="1"/>
      <c r="AC654" s="1"/>
      <c r="AD654" s="1"/>
      <c r="AE654" s="1"/>
      <c r="AF654" s="1"/>
      <c r="AG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</row>
    <row r="655" spans="1:5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S655" s="1"/>
      <c r="T655" s="1"/>
      <c r="U655" s="1"/>
      <c r="V655" s="1"/>
      <c r="W655" s="1"/>
      <c r="X655" s="1"/>
      <c r="AB655" s="1"/>
      <c r="AC655" s="1"/>
      <c r="AD655" s="1"/>
      <c r="AE655" s="1"/>
      <c r="AF655" s="1"/>
      <c r="AG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</row>
    <row r="656" spans="1:5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S656" s="1"/>
      <c r="T656" s="1"/>
      <c r="U656" s="1"/>
      <c r="V656" s="1"/>
      <c r="W656" s="1"/>
      <c r="X656" s="1"/>
      <c r="AB656" s="1"/>
      <c r="AC656" s="1"/>
      <c r="AD656" s="1"/>
      <c r="AE656" s="1"/>
      <c r="AF656" s="1"/>
      <c r="AG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</row>
    <row r="657" spans="1:5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S657" s="1"/>
      <c r="T657" s="1"/>
      <c r="U657" s="1"/>
      <c r="V657" s="1"/>
      <c r="W657" s="1"/>
      <c r="X657" s="1"/>
      <c r="AB657" s="1"/>
      <c r="AC657" s="1"/>
      <c r="AD657" s="1"/>
      <c r="AE657" s="1"/>
      <c r="AF657" s="1"/>
      <c r="AG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</row>
    <row r="658" spans="1:5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S658" s="1"/>
      <c r="T658" s="1"/>
      <c r="U658" s="1"/>
      <c r="V658" s="1"/>
      <c r="W658" s="1"/>
      <c r="X658" s="1"/>
      <c r="AB658" s="1"/>
      <c r="AC658" s="1"/>
      <c r="AD658" s="1"/>
      <c r="AE658" s="1"/>
      <c r="AF658" s="1"/>
      <c r="AG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</row>
    <row r="659" spans="1:5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S659" s="1"/>
      <c r="T659" s="1"/>
      <c r="U659" s="1"/>
      <c r="V659" s="1"/>
      <c r="W659" s="1"/>
      <c r="X659" s="1"/>
      <c r="AB659" s="1"/>
      <c r="AC659" s="1"/>
      <c r="AD659" s="1"/>
      <c r="AE659" s="1"/>
      <c r="AF659" s="1"/>
      <c r="AG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</row>
    <row r="660" spans="1:5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S660" s="1"/>
      <c r="T660" s="1"/>
      <c r="U660" s="1"/>
      <c r="V660" s="1"/>
      <c r="W660" s="1"/>
      <c r="X660" s="1"/>
      <c r="AB660" s="1"/>
      <c r="AC660" s="1"/>
      <c r="AD660" s="1"/>
      <c r="AE660" s="1"/>
      <c r="AF660" s="1"/>
      <c r="AG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</row>
    <row r="661" spans="1:5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S661" s="1"/>
      <c r="T661" s="1"/>
      <c r="U661" s="1"/>
      <c r="V661" s="1"/>
      <c r="W661" s="1"/>
      <c r="X661" s="1"/>
      <c r="AB661" s="1"/>
      <c r="AC661" s="1"/>
      <c r="AD661" s="1"/>
      <c r="AE661" s="1"/>
      <c r="AF661" s="1"/>
      <c r="AG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</row>
    <row r="662" spans="1:5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S662" s="1"/>
      <c r="T662" s="1"/>
      <c r="U662" s="1"/>
      <c r="V662" s="1"/>
      <c r="W662" s="1"/>
      <c r="X662" s="1"/>
      <c r="AB662" s="1"/>
      <c r="AC662" s="1"/>
      <c r="AD662" s="1"/>
      <c r="AE662" s="1"/>
      <c r="AF662" s="1"/>
      <c r="AG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</row>
    <row r="663" spans="1:5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S663" s="1"/>
      <c r="T663" s="1"/>
      <c r="U663" s="1"/>
      <c r="V663" s="1"/>
      <c r="W663" s="1"/>
      <c r="X663" s="1"/>
      <c r="AB663" s="1"/>
      <c r="AC663" s="1"/>
      <c r="AD663" s="1"/>
      <c r="AE663" s="1"/>
      <c r="AF663" s="1"/>
      <c r="AG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</row>
    <row r="664" spans="1:5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S664" s="1"/>
      <c r="T664" s="1"/>
      <c r="U664" s="1"/>
      <c r="V664" s="1"/>
      <c r="W664" s="1"/>
      <c r="X664" s="1"/>
      <c r="AB664" s="1"/>
      <c r="AC664" s="1"/>
      <c r="AD664" s="1"/>
      <c r="AE664" s="1"/>
      <c r="AF664" s="1"/>
      <c r="AG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</row>
    <row r="665" spans="1:5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S665" s="1"/>
      <c r="T665" s="1"/>
      <c r="U665" s="1"/>
      <c r="V665" s="1"/>
      <c r="W665" s="1"/>
      <c r="X665" s="1"/>
      <c r="AB665" s="1"/>
      <c r="AC665" s="1"/>
      <c r="AD665" s="1"/>
      <c r="AE665" s="1"/>
      <c r="AF665" s="1"/>
      <c r="AG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</row>
    <row r="666" spans="1:5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S666" s="1"/>
      <c r="T666" s="1"/>
      <c r="U666" s="1"/>
      <c r="V666" s="1"/>
      <c r="W666" s="1"/>
      <c r="X666" s="1"/>
      <c r="AB666" s="1"/>
      <c r="AC666" s="1"/>
      <c r="AD666" s="1"/>
      <c r="AE666" s="1"/>
      <c r="AF666" s="1"/>
      <c r="AG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</row>
    <row r="667" spans="1:5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S667" s="1"/>
      <c r="T667" s="1"/>
      <c r="U667" s="1"/>
      <c r="V667" s="1"/>
      <c r="W667" s="1"/>
      <c r="X667" s="1"/>
      <c r="AB667" s="1"/>
      <c r="AC667" s="1"/>
      <c r="AD667" s="1"/>
      <c r="AE667" s="1"/>
      <c r="AF667" s="1"/>
      <c r="AG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</row>
    <row r="668" spans="1:5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S668" s="1"/>
      <c r="T668" s="1"/>
      <c r="U668" s="1"/>
      <c r="V668" s="1"/>
      <c r="W668" s="1"/>
      <c r="X668" s="1"/>
      <c r="AB668" s="1"/>
      <c r="AC668" s="1"/>
      <c r="AD668" s="1"/>
      <c r="AE668" s="1"/>
      <c r="AF668" s="1"/>
      <c r="AG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</row>
    <row r="669" spans="1:5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S669" s="1"/>
      <c r="T669" s="1"/>
      <c r="U669" s="1"/>
      <c r="V669" s="1"/>
      <c r="W669" s="1"/>
      <c r="X669" s="1"/>
      <c r="AB669" s="1"/>
      <c r="AC669" s="1"/>
      <c r="AD669" s="1"/>
      <c r="AE669" s="1"/>
      <c r="AF669" s="1"/>
      <c r="AG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</row>
    <row r="670" spans="1:5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S670" s="1"/>
      <c r="T670" s="1"/>
      <c r="U670" s="1"/>
      <c r="V670" s="1"/>
      <c r="W670" s="1"/>
      <c r="X670" s="1"/>
      <c r="AB670" s="1"/>
      <c r="AC670" s="1"/>
      <c r="AD670" s="1"/>
      <c r="AE670" s="1"/>
      <c r="AF670" s="1"/>
      <c r="AG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</row>
    <row r="671" spans="1:5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S671" s="1"/>
      <c r="T671" s="1"/>
      <c r="U671" s="1"/>
      <c r="V671" s="1"/>
      <c r="W671" s="1"/>
      <c r="X671" s="1"/>
      <c r="AB671" s="1"/>
      <c r="AC671" s="1"/>
      <c r="AD671" s="1"/>
      <c r="AE671" s="1"/>
      <c r="AF671" s="1"/>
      <c r="AG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</row>
    <row r="672" spans="1:5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S672" s="1"/>
      <c r="T672" s="1"/>
      <c r="U672" s="1"/>
      <c r="V672" s="1"/>
      <c r="W672" s="1"/>
      <c r="X672" s="1"/>
      <c r="AB672" s="1"/>
      <c r="AC672" s="1"/>
      <c r="AD672" s="1"/>
      <c r="AE672" s="1"/>
      <c r="AF672" s="1"/>
      <c r="AG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</row>
    <row r="673" spans="1:5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S673" s="1"/>
      <c r="T673" s="1"/>
      <c r="U673" s="1"/>
      <c r="V673" s="1"/>
      <c r="W673" s="1"/>
      <c r="X673" s="1"/>
      <c r="AB673" s="1"/>
      <c r="AC673" s="1"/>
      <c r="AD673" s="1"/>
      <c r="AE673" s="1"/>
      <c r="AF673" s="1"/>
      <c r="AG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</row>
    <row r="674" spans="1:5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S674" s="1"/>
      <c r="T674" s="1"/>
      <c r="U674" s="1"/>
      <c r="V674" s="1"/>
      <c r="W674" s="1"/>
      <c r="X674" s="1"/>
      <c r="AB674" s="1"/>
      <c r="AC674" s="1"/>
      <c r="AD674" s="1"/>
      <c r="AE674" s="1"/>
      <c r="AF674" s="1"/>
      <c r="AG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</row>
    <row r="675" spans="1:5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S675" s="1"/>
      <c r="T675" s="1"/>
      <c r="U675" s="1"/>
      <c r="V675" s="1"/>
      <c r="W675" s="1"/>
      <c r="X675" s="1"/>
      <c r="AB675" s="1"/>
      <c r="AC675" s="1"/>
      <c r="AD675" s="1"/>
      <c r="AE675" s="1"/>
      <c r="AF675" s="1"/>
      <c r="AG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</row>
    <row r="676" spans="1:5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S676" s="1"/>
      <c r="T676" s="1"/>
      <c r="U676" s="1"/>
      <c r="V676" s="1"/>
      <c r="W676" s="1"/>
      <c r="X676" s="1"/>
      <c r="AB676" s="1"/>
      <c r="AC676" s="1"/>
      <c r="AD676" s="1"/>
      <c r="AE676" s="1"/>
      <c r="AF676" s="1"/>
      <c r="AG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</row>
    <row r="677" spans="1:5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S677" s="1"/>
      <c r="T677" s="1"/>
      <c r="U677" s="1"/>
      <c r="V677" s="1"/>
      <c r="W677" s="1"/>
      <c r="X677" s="1"/>
      <c r="AB677" s="1"/>
      <c r="AC677" s="1"/>
      <c r="AD677" s="1"/>
      <c r="AE677" s="1"/>
      <c r="AF677" s="1"/>
      <c r="AG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</row>
    <row r="678" spans="1:5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S678" s="1"/>
      <c r="T678" s="1"/>
      <c r="U678" s="1"/>
      <c r="V678" s="1"/>
      <c r="W678" s="1"/>
      <c r="X678" s="1"/>
      <c r="AB678" s="1"/>
      <c r="AC678" s="1"/>
      <c r="AD678" s="1"/>
      <c r="AE678" s="1"/>
      <c r="AF678" s="1"/>
      <c r="AG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</row>
    <row r="679" spans="1:5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S679" s="1"/>
      <c r="T679" s="1"/>
      <c r="U679" s="1"/>
      <c r="V679" s="1"/>
      <c r="W679" s="1"/>
      <c r="X679" s="1"/>
      <c r="AB679" s="1"/>
      <c r="AC679" s="1"/>
      <c r="AD679" s="1"/>
      <c r="AE679" s="1"/>
      <c r="AF679" s="1"/>
      <c r="AG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</row>
    <row r="680" spans="1:5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S680" s="1"/>
      <c r="T680" s="1"/>
      <c r="U680" s="1"/>
      <c r="V680" s="1"/>
      <c r="W680" s="1"/>
      <c r="X680" s="1"/>
      <c r="AB680" s="1"/>
      <c r="AC680" s="1"/>
      <c r="AD680" s="1"/>
      <c r="AE680" s="1"/>
      <c r="AF680" s="1"/>
      <c r="AG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</row>
    <row r="681" spans="1:5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S681" s="1"/>
      <c r="T681" s="1"/>
      <c r="U681" s="1"/>
      <c r="V681" s="1"/>
      <c r="W681" s="1"/>
      <c r="X681" s="1"/>
      <c r="AB681" s="1"/>
      <c r="AC681" s="1"/>
      <c r="AD681" s="1"/>
      <c r="AE681" s="1"/>
      <c r="AF681" s="1"/>
      <c r="AG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</row>
    <row r="682" spans="1:5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S682" s="1"/>
      <c r="T682" s="1"/>
      <c r="U682" s="1"/>
      <c r="V682" s="1"/>
      <c r="W682" s="1"/>
      <c r="X682" s="1"/>
      <c r="AB682" s="1"/>
      <c r="AC682" s="1"/>
      <c r="AD682" s="1"/>
      <c r="AE682" s="1"/>
      <c r="AF682" s="1"/>
      <c r="AG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</row>
    <row r="683" spans="1:5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S683" s="1"/>
      <c r="T683" s="1"/>
      <c r="U683" s="1"/>
      <c r="V683" s="1"/>
      <c r="W683" s="1"/>
      <c r="X683" s="1"/>
      <c r="AB683" s="1"/>
      <c r="AC683" s="1"/>
      <c r="AD683" s="1"/>
      <c r="AE683" s="1"/>
      <c r="AF683" s="1"/>
      <c r="AG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</row>
    <row r="684" spans="1:5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S684" s="1"/>
      <c r="T684" s="1"/>
      <c r="U684" s="1"/>
      <c r="V684" s="1"/>
      <c r="W684" s="1"/>
      <c r="X684" s="1"/>
      <c r="AB684" s="1"/>
      <c r="AC684" s="1"/>
      <c r="AD684" s="1"/>
      <c r="AE684" s="1"/>
      <c r="AF684" s="1"/>
      <c r="AG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</row>
    <row r="685" spans="1:5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S685" s="1"/>
      <c r="T685" s="1"/>
      <c r="U685" s="1"/>
      <c r="V685" s="1"/>
      <c r="W685" s="1"/>
      <c r="X685" s="1"/>
      <c r="AB685" s="1"/>
      <c r="AC685" s="1"/>
      <c r="AD685" s="1"/>
      <c r="AE685" s="1"/>
      <c r="AF685" s="1"/>
      <c r="AG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</row>
    <row r="686" spans="1:5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S686" s="1"/>
      <c r="T686" s="1"/>
      <c r="U686" s="1"/>
      <c r="V686" s="1"/>
      <c r="W686" s="1"/>
      <c r="X686" s="1"/>
      <c r="AB686" s="1"/>
      <c r="AC686" s="1"/>
      <c r="AD686" s="1"/>
      <c r="AE686" s="1"/>
      <c r="AF686" s="1"/>
      <c r="AG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</row>
    <row r="687" spans="1:5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S687" s="1"/>
      <c r="T687" s="1"/>
      <c r="U687" s="1"/>
      <c r="V687" s="1"/>
      <c r="W687" s="1"/>
      <c r="X687" s="1"/>
      <c r="AB687" s="1"/>
      <c r="AC687" s="1"/>
      <c r="AD687" s="1"/>
      <c r="AE687" s="1"/>
      <c r="AF687" s="1"/>
      <c r="AG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</row>
    <row r="688" spans="1:5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S688" s="1"/>
      <c r="T688" s="1"/>
      <c r="U688" s="1"/>
      <c r="V688" s="1"/>
      <c r="W688" s="1"/>
      <c r="X688" s="1"/>
      <c r="AB688" s="1"/>
      <c r="AC688" s="1"/>
      <c r="AD688" s="1"/>
      <c r="AE688" s="1"/>
      <c r="AF688" s="1"/>
      <c r="AG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</row>
    <row r="689" spans="1:5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S689" s="1"/>
      <c r="T689" s="1"/>
      <c r="U689" s="1"/>
      <c r="V689" s="1"/>
      <c r="W689" s="1"/>
      <c r="X689" s="1"/>
      <c r="AB689" s="1"/>
      <c r="AC689" s="1"/>
      <c r="AD689" s="1"/>
      <c r="AE689" s="1"/>
      <c r="AF689" s="1"/>
      <c r="AG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</row>
    <row r="690" spans="1:5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S690" s="1"/>
      <c r="T690" s="1"/>
      <c r="U690" s="1"/>
      <c r="V690" s="1"/>
      <c r="W690" s="1"/>
      <c r="X690" s="1"/>
      <c r="AB690" s="1"/>
      <c r="AC690" s="1"/>
      <c r="AD690" s="1"/>
      <c r="AE690" s="1"/>
      <c r="AF690" s="1"/>
      <c r="AG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</row>
    <row r="691" spans="1:5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S691" s="1"/>
      <c r="T691" s="1"/>
      <c r="U691" s="1"/>
      <c r="V691" s="1"/>
      <c r="W691" s="1"/>
      <c r="X691" s="1"/>
      <c r="AB691" s="1"/>
      <c r="AC691" s="1"/>
      <c r="AD691" s="1"/>
      <c r="AE691" s="1"/>
      <c r="AF691" s="1"/>
      <c r="AG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</row>
    <row r="692" spans="1:5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S692" s="1"/>
      <c r="T692" s="1"/>
      <c r="U692" s="1"/>
      <c r="V692" s="1"/>
      <c r="W692" s="1"/>
      <c r="X692" s="1"/>
      <c r="AB692" s="1"/>
      <c r="AC692" s="1"/>
      <c r="AD692" s="1"/>
      <c r="AE692" s="1"/>
      <c r="AF692" s="1"/>
      <c r="AG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</row>
    <row r="693" spans="1:5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S693" s="1"/>
      <c r="T693" s="1"/>
      <c r="U693" s="1"/>
      <c r="V693" s="1"/>
      <c r="W693" s="1"/>
      <c r="X693" s="1"/>
      <c r="AB693" s="1"/>
      <c r="AC693" s="1"/>
      <c r="AD693" s="1"/>
      <c r="AE693" s="1"/>
      <c r="AF693" s="1"/>
      <c r="AG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</row>
    <row r="694" spans="1:5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S694" s="1"/>
      <c r="T694" s="1"/>
      <c r="U694" s="1"/>
      <c r="V694" s="1"/>
      <c r="W694" s="1"/>
      <c r="X694" s="1"/>
      <c r="AB694" s="1"/>
      <c r="AC694" s="1"/>
      <c r="AD694" s="1"/>
      <c r="AE694" s="1"/>
      <c r="AF694" s="1"/>
      <c r="AG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</row>
    <row r="695" spans="1:5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S695" s="1"/>
      <c r="T695" s="1"/>
      <c r="U695" s="1"/>
      <c r="V695" s="1"/>
      <c r="W695" s="1"/>
      <c r="X695" s="1"/>
      <c r="AB695" s="1"/>
      <c r="AC695" s="1"/>
      <c r="AD695" s="1"/>
      <c r="AE695" s="1"/>
      <c r="AF695" s="1"/>
      <c r="AG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</row>
    <row r="696" spans="1:5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S696" s="1"/>
      <c r="T696" s="1"/>
      <c r="U696" s="1"/>
      <c r="V696" s="1"/>
      <c r="W696" s="1"/>
      <c r="X696" s="1"/>
      <c r="AB696" s="1"/>
      <c r="AC696" s="1"/>
      <c r="AD696" s="1"/>
      <c r="AE696" s="1"/>
      <c r="AF696" s="1"/>
      <c r="AG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</row>
    <row r="697" spans="1:5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S697" s="1"/>
      <c r="T697" s="1"/>
      <c r="U697" s="1"/>
      <c r="V697" s="1"/>
      <c r="W697" s="1"/>
      <c r="X697" s="1"/>
      <c r="AB697" s="1"/>
      <c r="AC697" s="1"/>
      <c r="AD697" s="1"/>
      <c r="AE697" s="1"/>
      <c r="AF697" s="1"/>
      <c r="AG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</row>
    <row r="698" spans="1:5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S698" s="1"/>
      <c r="T698" s="1"/>
      <c r="U698" s="1"/>
      <c r="V698" s="1"/>
      <c r="W698" s="1"/>
      <c r="X698" s="1"/>
      <c r="AB698" s="1"/>
      <c r="AC698" s="1"/>
      <c r="AD698" s="1"/>
      <c r="AE698" s="1"/>
      <c r="AF698" s="1"/>
      <c r="AG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</row>
    <row r="699" spans="1:5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S699" s="1"/>
      <c r="T699" s="1"/>
      <c r="U699" s="1"/>
      <c r="V699" s="1"/>
      <c r="W699" s="1"/>
      <c r="X699" s="1"/>
      <c r="AB699" s="1"/>
      <c r="AC699" s="1"/>
      <c r="AD699" s="1"/>
      <c r="AE699" s="1"/>
      <c r="AF699" s="1"/>
      <c r="AG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</row>
    <row r="700" spans="1:5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S700" s="1"/>
      <c r="T700" s="1"/>
      <c r="U700" s="1"/>
      <c r="V700" s="1"/>
      <c r="W700" s="1"/>
      <c r="X700" s="1"/>
      <c r="AB700" s="1"/>
      <c r="AC700" s="1"/>
      <c r="AD700" s="1"/>
      <c r="AE700" s="1"/>
      <c r="AF700" s="1"/>
      <c r="AG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</row>
    <row r="701" spans="1:5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S701" s="1"/>
      <c r="T701" s="1"/>
      <c r="U701" s="1"/>
      <c r="V701" s="1"/>
      <c r="W701" s="1"/>
      <c r="X701" s="1"/>
      <c r="AB701" s="1"/>
      <c r="AC701" s="1"/>
      <c r="AD701" s="1"/>
      <c r="AE701" s="1"/>
      <c r="AF701" s="1"/>
      <c r="AG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</row>
    <row r="702" spans="1:5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S702" s="1"/>
      <c r="T702" s="1"/>
      <c r="U702" s="1"/>
      <c r="V702" s="1"/>
      <c r="W702" s="1"/>
      <c r="X702" s="1"/>
      <c r="AB702" s="1"/>
      <c r="AC702" s="1"/>
      <c r="AD702" s="1"/>
      <c r="AE702" s="1"/>
      <c r="AF702" s="1"/>
      <c r="AG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</row>
    <row r="703" spans="1:5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S703" s="1"/>
      <c r="T703" s="1"/>
      <c r="U703" s="1"/>
      <c r="V703" s="1"/>
      <c r="W703" s="1"/>
      <c r="X703" s="1"/>
      <c r="AB703" s="1"/>
      <c r="AC703" s="1"/>
      <c r="AD703" s="1"/>
      <c r="AE703" s="1"/>
      <c r="AF703" s="1"/>
      <c r="AG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</row>
    <row r="704" spans="1:5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S704" s="1"/>
      <c r="T704" s="1"/>
      <c r="U704" s="1"/>
      <c r="V704" s="1"/>
      <c r="W704" s="1"/>
      <c r="X704" s="1"/>
      <c r="AB704" s="1"/>
      <c r="AC704" s="1"/>
      <c r="AD704" s="1"/>
      <c r="AE704" s="1"/>
      <c r="AF704" s="1"/>
      <c r="AG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</row>
    <row r="705" spans="1:5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S705" s="1"/>
      <c r="T705" s="1"/>
      <c r="U705" s="1"/>
      <c r="V705" s="1"/>
      <c r="W705" s="1"/>
      <c r="X705" s="1"/>
      <c r="AB705" s="1"/>
      <c r="AC705" s="1"/>
      <c r="AD705" s="1"/>
      <c r="AE705" s="1"/>
      <c r="AF705" s="1"/>
      <c r="AG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</row>
    <row r="706" spans="1:5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S706" s="1"/>
      <c r="T706" s="1"/>
      <c r="U706" s="1"/>
      <c r="V706" s="1"/>
      <c r="W706" s="1"/>
      <c r="X706" s="1"/>
      <c r="AB706" s="1"/>
      <c r="AC706" s="1"/>
      <c r="AD706" s="1"/>
      <c r="AE706" s="1"/>
      <c r="AF706" s="1"/>
      <c r="AG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</row>
    <row r="707" spans="1:5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S707" s="1"/>
      <c r="T707" s="1"/>
      <c r="U707" s="1"/>
      <c r="V707" s="1"/>
      <c r="W707" s="1"/>
      <c r="X707" s="1"/>
      <c r="AB707" s="1"/>
      <c r="AC707" s="1"/>
      <c r="AD707" s="1"/>
      <c r="AE707" s="1"/>
      <c r="AF707" s="1"/>
      <c r="AG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</row>
    <row r="708" spans="1:5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S708" s="1"/>
      <c r="T708" s="1"/>
      <c r="U708" s="1"/>
      <c r="V708" s="1"/>
      <c r="W708" s="1"/>
      <c r="X708" s="1"/>
      <c r="AB708" s="1"/>
      <c r="AC708" s="1"/>
      <c r="AD708" s="1"/>
      <c r="AE708" s="1"/>
      <c r="AF708" s="1"/>
      <c r="AG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</row>
    <row r="709" spans="1:5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S709" s="1"/>
      <c r="T709" s="1"/>
      <c r="U709" s="1"/>
      <c r="V709" s="1"/>
      <c r="W709" s="1"/>
      <c r="X709" s="1"/>
      <c r="AB709" s="1"/>
      <c r="AC709" s="1"/>
      <c r="AD709" s="1"/>
      <c r="AE709" s="1"/>
      <c r="AF709" s="1"/>
      <c r="AG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</row>
    <row r="710" spans="1:5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S710" s="1"/>
      <c r="T710" s="1"/>
      <c r="U710" s="1"/>
      <c r="V710" s="1"/>
      <c r="W710" s="1"/>
      <c r="X710" s="1"/>
      <c r="AB710" s="1"/>
      <c r="AC710" s="1"/>
      <c r="AD710" s="1"/>
      <c r="AE710" s="1"/>
      <c r="AF710" s="1"/>
      <c r="AG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</row>
    <row r="711" spans="1:5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S711" s="1"/>
      <c r="T711" s="1"/>
      <c r="U711" s="1"/>
      <c r="V711" s="1"/>
      <c r="W711" s="1"/>
      <c r="X711" s="1"/>
      <c r="AB711" s="1"/>
      <c r="AC711" s="1"/>
      <c r="AD711" s="1"/>
      <c r="AE711" s="1"/>
      <c r="AF711" s="1"/>
      <c r="AG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</row>
    <row r="712" spans="1:5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S712" s="1"/>
      <c r="T712" s="1"/>
      <c r="U712" s="1"/>
      <c r="V712" s="1"/>
      <c r="W712" s="1"/>
      <c r="X712" s="1"/>
      <c r="AB712" s="1"/>
      <c r="AC712" s="1"/>
      <c r="AD712" s="1"/>
      <c r="AE712" s="1"/>
      <c r="AF712" s="1"/>
      <c r="AG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</row>
    <row r="713" spans="1:5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S713" s="1"/>
      <c r="T713" s="1"/>
      <c r="U713" s="1"/>
      <c r="V713" s="1"/>
      <c r="W713" s="1"/>
      <c r="X713" s="1"/>
      <c r="AB713" s="1"/>
      <c r="AC713" s="1"/>
      <c r="AD713" s="1"/>
      <c r="AE713" s="1"/>
      <c r="AF713" s="1"/>
      <c r="AG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</row>
    <row r="714" spans="1:5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S714" s="1"/>
      <c r="T714" s="1"/>
      <c r="U714" s="1"/>
      <c r="V714" s="1"/>
      <c r="W714" s="1"/>
      <c r="X714" s="1"/>
      <c r="AB714" s="1"/>
      <c r="AC714" s="1"/>
      <c r="AD714" s="1"/>
      <c r="AE714" s="1"/>
      <c r="AF714" s="1"/>
      <c r="AG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</row>
    <row r="715" spans="1:5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S715" s="1"/>
      <c r="T715" s="1"/>
      <c r="U715" s="1"/>
      <c r="V715" s="1"/>
      <c r="W715" s="1"/>
      <c r="X715" s="1"/>
      <c r="AB715" s="1"/>
      <c r="AC715" s="1"/>
      <c r="AD715" s="1"/>
      <c r="AE715" s="1"/>
      <c r="AF715" s="1"/>
      <c r="AG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</row>
    <row r="716" spans="1:5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S716" s="1"/>
      <c r="T716" s="1"/>
      <c r="U716" s="1"/>
      <c r="V716" s="1"/>
      <c r="W716" s="1"/>
      <c r="X716" s="1"/>
      <c r="AB716" s="1"/>
      <c r="AC716" s="1"/>
      <c r="AD716" s="1"/>
      <c r="AE716" s="1"/>
      <c r="AF716" s="1"/>
      <c r="AG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</row>
    <row r="717" spans="1:5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S717" s="1"/>
      <c r="T717" s="1"/>
      <c r="U717" s="1"/>
      <c r="V717" s="1"/>
      <c r="W717" s="1"/>
      <c r="X717" s="1"/>
      <c r="AB717" s="1"/>
      <c r="AC717" s="1"/>
      <c r="AD717" s="1"/>
      <c r="AE717" s="1"/>
      <c r="AF717" s="1"/>
      <c r="AG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</row>
    <row r="718" spans="1:5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S718" s="1"/>
      <c r="T718" s="1"/>
      <c r="U718" s="1"/>
      <c r="V718" s="1"/>
      <c r="W718" s="1"/>
      <c r="X718" s="1"/>
      <c r="AB718" s="1"/>
      <c r="AC718" s="1"/>
      <c r="AD718" s="1"/>
      <c r="AE718" s="1"/>
      <c r="AF718" s="1"/>
      <c r="AG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</row>
    <row r="719" spans="1:5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S719" s="1"/>
      <c r="T719" s="1"/>
      <c r="U719" s="1"/>
      <c r="V719" s="1"/>
      <c r="W719" s="1"/>
      <c r="X719" s="1"/>
      <c r="AB719" s="1"/>
      <c r="AC719" s="1"/>
      <c r="AD719" s="1"/>
      <c r="AE719" s="1"/>
      <c r="AF719" s="1"/>
      <c r="AG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</row>
    <row r="720" spans="1:5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S720" s="1"/>
      <c r="T720" s="1"/>
      <c r="U720" s="1"/>
      <c r="V720" s="1"/>
      <c r="W720" s="1"/>
      <c r="X720" s="1"/>
      <c r="AB720" s="1"/>
      <c r="AC720" s="1"/>
      <c r="AD720" s="1"/>
      <c r="AE720" s="1"/>
      <c r="AF720" s="1"/>
      <c r="AG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</row>
    <row r="721" spans="1:5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S721" s="1"/>
      <c r="T721" s="1"/>
      <c r="U721" s="1"/>
      <c r="V721" s="1"/>
      <c r="W721" s="1"/>
      <c r="X721" s="1"/>
      <c r="AB721" s="1"/>
      <c r="AC721" s="1"/>
      <c r="AD721" s="1"/>
      <c r="AE721" s="1"/>
      <c r="AF721" s="1"/>
      <c r="AG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</row>
    <row r="722" spans="1:5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S722" s="1"/>
      <c r="T722" s="1"/>
      <c r="U722" s="1"/>
      <c r="V722" s="1"/>
      <c r="W722" s="1"/>
      <c r="X722" s="1"/>
      <c r="AB722" s="1"/>
      <c r="AC722" s="1"/>
      <c r="AD722" s="1"/>
      <c r="AE722" s="1"/>
      <c r="AF722" s="1"/>
      <c r="AG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</row>
    <row r="723" spans="1:5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S723" s="1"/>
      <c r="T723" s="1"/>
      <c r="U723" s="1"/>
      <c r="V723" s="1"/>
      <c r="W723" s="1"/>
      <c r="X723" s="1"/>
      <c r="AB723" s="1"/>
      <c r="AC723" s="1"/>
      <c r="AD723" s="1"/>
      <c r="AE723" s="1"/>
      <c r="AF723" s="1"/>
      <c r="AG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</row>
    <row r="724" spans="1:5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S724" s="1"/>
      <c r="T724" s="1"/>
      <c r="U724" s="1"/>
      <c r="V724" s="1"/>
      <c r="W724" s="1"/>
      <c r="X724" s="1"/>
      <c r="AB724" s="1"/>
      <c r="AC724" s="1"/>
      <c r="AD724" s="1"/>
      <c r="AE724" s="1"/>
      <c r="AF724" s="1"/>
      <c r="AG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</row>
    <row r="725" spans="1:5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S725" s="1"/>
      <c r="T725" s="1"/>
      <c r="U725" s="1"/>
      <c r="V725" s="1"/>
      <c r="W725" s="1"/>
      <c r="X725" s="1"/>
      <c r="AB725" s="1"/>
      <c r="AC725" s="1"/>
      <c r="AD725" s="1"/>
      <c r="AE725" s="1"/>
      <c r="AF725" s="1"/>
      <c r="AG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</row>
    <row r="726" spans="1:5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S726" s="1"/>
      <c r="T726" s="1"/>
      <c r="U726" s="1"/>
      <c r="V726" s="1"/>
      <c r="W726" s="1"/>
      <c r="X726" s="1"/>
      <c r="AB726" s="1"/>
      <c r="AC726" s="1"/>
      <c r="AD726" s="1"/>
      <c r="AE726" s="1"/>
      <c r="AF726" s="1"/>
      <c r="AG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</row>
    <row r="727" spans="1:5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S727" s="1"/>
      <c r="T727" s="1"/>
      <c r="U727" s="1"/>
      <c r="V727" s="1"/>
      <c r="W727" s="1"/>
      <c r="X727" s="1"/>
      <c r="AB727" s="1"/>
      <c r="AC727" s="1"/>
      <c r="AD727" s="1"/>
      <c r="AE727" s="1"/>
      <c r="AF727" s="1"/>
      <c r="AG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</row>
    <row r="728" spans="1:5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S728" s="1"/>
      <c r="T728" s="1"/>
      <c r="U728" s="1"/>
      <c r="V728" s="1"/>
      <c r="W728" s="1"/>
      <c r="X728" s="1"/>
      <c r="AB728" s="1"/>
      <c r="AC728" s="1"/>
      <c r="AD728" s="1"/>
      <c r="AE728" s="1"/>
      <c r="AF728" s="1"/>
      <c r="AG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</row>
    <row r="729" spans="1:5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S729" s="1"/>
      <c r="T729" s="1"/>
      <c r="U729" s="1"/>
      <c r="V729" s="1"/>
      <c r="W729" s="1"/>
      <c r="X729" s="1"/>
      <c r="AB729" s="1"/>
      <c r="AC729" s="1"/>
      <c r="AD729" s="1"/>
      <c r="AE729" s="1"/>
      <c r="AF729" s="1"/>
      <c r="AG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</row>
    <row r="730" spans="1:5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S730" s="1"/>
      <c r="T730" s="1"/>
      <c r="U730" s="1"/>
      <c r="V730" s="1"/>
      <c r="W730" s="1"/>
      <c r="X730" s="1"/>
      <c r="AB730" s="1"/>
      <c r="AC730" s="1"/>
      <c r="AD730" s="1"/>
      <c r="AE730" s="1"/>
      <c r="AF730" s="1"/>
      <c r="AG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</row>
    <row r="731" spans="1:5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S731" s="1"/>
      <c r="T731" s="1"/>
      <c r="U731" s="1"/>
      <c r="V731" s="1"/>
      <c r="W731" s="1"/>
      <c r="X731" s="1"/>
      <c r="AB731" s="1"/>
      <c r="AC731" s="1"/>
      <c r="AD731" s="1"/>
      <c r="AE731" s="1"/>
      <c r="AF731" s="1"/>
      <c r="AG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</row>
    <row r="732" spans="1:5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S732" s="1"/>
      <c r="T732" s="1"/>
      <c r="U732" s="1"/>
      <c r="V732" s="1"/>
      <c r="W732" s="1"/>
      <c r="X732" s="1"/>
      <c r="AB732" s="1"/>
      <c r="AC732" s="1"/>
      <c r="AD732" s="1"/>
      <c r="AE732" s="1"/>
      <c r="AF732" s="1"/>
      <c r="AG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</row>
    <row r="733" spans="1:5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S733" s="1"/>
      <c r="T733" s="1"/>
      <c r="U733" s="1"/>
      <c r="V733" s="1"/>
      <c r="W733" s="1"/>
      <c r="X733" s="1"/>
      <c r="AB733" s="1"/>
      <c r="AC733" s="1"/>
      <c r="AD733" s="1"/>
      <c r="AE733" s="1"/>
      <c r="AF733" s="1"/>
      <c r="AG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</row>
    <row r="734" spans="1:5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S734" s="1"/>
      <c r="T734" s="1"/>
      <c r="U734" s="1"/>
      <c r="V734" s="1"/>
      <c r="W734" s="1"/>
      <c r="X734" s="1"/>
      <c r="AB734" s="1"/>
      <c r="AC734" s="1"/>
      <c r="AD734" s="1"/>
      <c r="AE734" s="1"/>
      <c r="AF734" s="1"/>
      <c r="AG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</row>
    <row r="735" spans="1:5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S735" s="1"/>
      <c r="T735" s="1"/>
      <c r="U735" s="1"/>
      <c r="V735" s="1"/>
      <c r="W735" s="1"/>
      <c r="X735" s="1"/>
      <c r="AB735" s="1"/>
      <c r="AC735" s="1"/>
      <c r="AD735" s="1"/>
      <c r="AE735" s="1"/>
      <c r="AF735" s="1"/>
      <c r="AG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</row>
    <row r="736" spans="1:5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S736" s="1"/>
      <c r="T736" s="1"/>
      <c r="U736" s="1"/>
      <c r="V736" s="1"/>
      <c r="W736" s="1"/>
      <c r="X736" s="1"/>
      <c r="AB736" s="1"/>
      <c r="AC736" s="1"/>
      <c r="AD736" s="1"/>
      <c r="AE736" s="1"/>
      <c r="AF736" s="1"/>
      <c r="AG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</row>
    <row r="737" spans="1:5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S737" s="1"/>
      <c r="T737" s="1"/>
      <c r="U737" s="1"/>
      <c r="V737" s="1"/>
      <c r="W737" s="1"/>
      <c r="X737" s="1"/>
      <c r="AB737" s="1"/>
      <c r="AC737" s="1"/>
      <c r="AD737" s="1"/>
      <c r="AE737" s="1"/>
      <c r="AF737" s="1"/>
      <c r="AG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</row>
    <row r="738" spans="1:5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S738" s="1"/>
      <c r="T738" s="1"/>
      <c r="U738" s="1"/>
      <c r="V738" s="1"/>
      <c r="W738" s="1"/>
      <c r="X738" s="1"/>
      <c r="AB738" s="1"/>
      <c r="AC738" s="1"/>
      <c r="AD738" s="1"/>
      <c r="AE738" s="1"/>
      <c r="AF738" s="1"/>
      <c r="AG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</row>
    <row r="739" spans="1:5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S739" s="1"/>
      <c r="T739" s="1"/>
      <c r="U739" s="1"/>
      <c r="V739" s="1"/>
      <c r="W739" s="1"/>
      <c r="X739" s="1"/>
      <c r="AB739" s="1"/>
      <c r="AC739" s="1"/>
      <c r="AD739" s="1"/>
      <c r="AE739" s="1"/>
      <c r="AF739" s="1"/>
      <c r="AG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</row>
    <row r="740" spans="1:5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S740" s="1"/>
      <c r="T740" s="1"/>
      <c r="U740" s="1"/>
      <c r="V740" s="1"/>
      <c r="W740" s="1"/>
      <c r="X740" s="1"/>
      <c r="AB740" s="1"/>
      <c r="AC740" s="1"/>
      <c r="AD740" s="1"/>
      <c r="AE740" s="1"/>
      <c r="AF740" s="1"/>
      <c r="AG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</row>
    <row r="741" spans="1:5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S741" s="1"/>
      <c r="T741" s="1"/>
      <c r="U741" s="1"/>
      <c r="V741" s="1"/>
      <c r="W741" s="1"/>
      <c r="X741" s="1"/>
      <c r="AB741" s="1"/>
      <c r="AC741" s="1"/>
      <c r="AD741" s="1"/>
      <c r="AE741" s="1"/>
      <c r="AF741" s="1"/>
      <c r="AG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</row>
    <row r="742" spans="1:5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S742" s="1"/>
      <c r="T742" s="1"/>
      <c r="U742" s="1"/>
      <c r="V742" s="1"/>
      <c r="W742" s="1"/>
      <c r="X742" s="1"/>
      <c r="AB742" s="1"/>
      <c r="AC742" s="1"/>
      <c r="AD742" s="1"/>
      <c r="AE742" s="1"/>
      <c r="AF742" s="1"/>
      <c r="AG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</row>
    <row r="743" spans="1:5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S743" s="1"/>
      <c r="T743" s="1"/>
      <c r="U743" s="1"/>
      <c r="V743" s="1"/>
      <c r="W743" s="1"/>
      <c r="X743" s="1"/>
      <c r="AB743" s="1"/>
      <c r="AC743" s="1"/>
      <c r="AD743" s="1"/>
      <c r="AE743" s="1"/>
      <c r="AF743" s="1"/>
      <c r="AG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</row>
    <row r="744" spans="1:5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S744" s="1"/>
      <c r="T744" s="1"/>
      <c r="U744" s="1"/>
      <c r="V744" s="1"/>
      <c r="W744" s="1"/>
      <c r="X744" s="1"/>
      <c r="AB744" s="1"/>
      <c r="AC744" s="1"/>
      <c r="AD744" s="1"/>
      <c r="AE744" s="1"/>
      <c r="AF744" s="1"/>
      <c r="AG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</row>
    <row r="745" spans="1:5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S745" s="1"/>
      <c r="T745" s="1"/>
      <c r="U745" s="1"/>
      <c r="V745" s="1"/>
      <c r="W745" s="1"/>
      <c r="X745" s="1"/>
      <c r="AB745" s="1"/>
      <c r="AC745" s="1"/>
      <c r="AD745" s="1"/>
      <c r="AE745" s="1"/>
      <c r="AF745" s="1"/>
      <c r="AG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</row>
    <row r="746" spans="1:5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S746" s="1"/>
      <c r="T746" s="1"/>
      <c r="U746" s="1"/>
      <c r="V746" s="1"/>
      <c r="W746" s="1"/>
      <c r="X746" s="1"/>
      <c r="AB746" s="1"/>
      <c r="AC746" s="1"/>
      <c r="AD746" s="1"/>
      <c r="AE746" s="1"/>
      <c r="AF746" s="1"/>
      <c r="AG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</row>
    <row r="747" spans="1:5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S747" s="1"/>
      <c r="T747" s="1"/>
      <c r="U747" s="1"/>
      <c r="V747" s="1"/>
      <c r="W747" s="1"/>
      <c r="X747" s="1"/>
      <c r="AB747" s="1"/>
      <c r="AC747" s="1"/>
      <c r="AD747" s="1"/>
      <c r="AE747" s="1"/>
      <c r="AF747" s="1"/>
      <c r="AG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</row>
    <row r="748" spans="1:5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S748" s="1"/>
      <c r="T748" s="1"/>
      <c r="U748" s="1"/>
      <c r="V748" s="1"/>
      <c r="W748" s="1"/>
      <c r="X748" s="1"/>
      <c r="AB748" s="1"/>
      <c r="AC748" s="1"/>
      <c r="AD748" s="1"/>
      <c r="AE748" s="1"/>
      <c r="AF748" s="1"/>
      <c r="AG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</row>
    <row r="749" spans="1:5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S749" s="1"/>
      <c r="T749" s="1"/>
      <c r="U749" s="1"/>
      <c r="V749" s="1"/>
      <c r="W749" s="1"/>
      <c r="X749" s="1"/>
      <c r="AB749" s="1"/>
      <c r="AC749" s="1"/>
      <c r="AD749" s="1"/>
      <c r="AE749" s="1"/>
      <c r="AF749" s="1"/>
      <c r="AG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</row>
    <row r="750" spans="1:5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S750" s="1"/>
      <c r="T750" s="1"/>
      <c r="U750" s="1"/>
      <c r="V750" s="1"/>
      <c r="W750" s="1"/>
      <c r="X750" s="1"/>
      <c r="AB750" s="1"/>
      <c r="AC750" s="1"/>
      <c r="AD750" s="1"/>
      <c r="AE750" s="1"/>
      <c r="AF750" s="1"/>
      <c r="AG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</row>
    <row r="751" spans="1:5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S751" s="1"/>
      <c r="T751" s="1"/>
      <c r="U751" s="1"/>
      <c r="V751" s="1"/>
      <c r="W751" s="1"/>
      <c r="X751" s="1"/>
      <c r="AB751" s="1"/>
      <c r="AC751" s="1"/>
      <c r="AD751" s="1"/>
      <c r="AE751" s="1"/>
      <c r="AF751" s="1"/>
      <c r="AG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</row>
    <row r="752" spans="1:5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S752" s="1"/>
      <c r="T752" s="1"/>
      <c r="U752" s="1"/>
      <c r="V752" s="1"/>
      <c r="W752" s="1"/>
      <c r="X752" s="1"/>
      <c r="AB752" s="1"/>
      <c r="AC752" s="1"/>
      <c r="AD752" s="1"/>
      <c r="AE752" s="1"/>
      <c r="AF752" s="1"/>
      <c r="AG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</row>
    <row r="753" spans="1:5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S753" s="1"/>
      <c r="T753" s="1"/>
      <c r="U753" s="1"/>
      <c r="V753" s="1"/>
      <c r="W753" s="1"/>
      <c r="X753" s="1"/>
      <c r="AB753" s="1"/>
      <c r="AC753" s="1"/>
      <c r="AD753" s="1"/>
      <c r="AE753" s="1"/>
      <c r="AF753" s="1"/>
      <c r="AG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</row>
    <row r="754" spans="1:5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S754" s="1"/>
      <c r="T754" s="1"/>
      <c r="U754" s="1"/>
      <c r="V754" s="1"/>
      <c r="W754" s="1"/>
      <c r="X754" s="1"/>
      <c r="AB754" s="1"/>
      <c r="AC754" s="1"/>
      <c r="AD754" s="1"/>
      <c r="AE754" s="1"/>
      <c r="AF754" s="1"/>
      <c r="AG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</row>
    <row r="755" spans="1:5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S755" s="1"/>
      <c r="T755" s="1"/>
      <c r="U755" s="1"/>
      <c r="V755" s="1"/>
      <c r="W755" s="1"/>
      <c r="X755" s="1"/>
      <c r="AB755" s="1"/>
      <c r="AC755" s="1"/>
      <c r="AD755" s="1"/>
      <c r="AE755" s="1"/>
      <c r="AF755" s="1"/>
      <c r="AG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</row>
    <row r="756" spans="1:5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S756" s="1"/>
      <c r="T756" s="1"/>
      <c r="U756" s="1"/>
      <c r="V756" s="1"/>
      <c r="W756" s="1"/>
      <c r="X756" s="1"/>
      <c r="AB756" s="1"/>
      <c r="AC756" s="1"/>
      <c r="AD756" s="1"/>
      <c r="AE756" s="1"/>
      <c r="AF756" s="1"/>
      <c r="AG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</row>
    <row r="757" spans="1:5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S757" s="1"/>
      <c r="T757" s="1"/>
      <c r="U757" s="1"/>
      <c r="V757" s="1"/>
      <c r="W757" s="1"/>
      <c r="X757" s="1"/>
      <c r="AB757" s="1"/>
      <c r="AC757" s="1"/>
      <c r="AD757" s="1"/>
      <c r="AE757" s="1"/>
      <c r="AF757" s="1"/>
      <c r="AG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</row>
    <row r="758" spans="1:5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S758" s="1"/>
      <c r="T758" s="1"/>
      <c r="U758" s="1"/>
      <c r="V758" s="1"/>
      <c r="W758" s="1"/>
      <c r="X758" s="1"/>
      <c r="AB758" s="1"/>
      <c r="AC758" s="1"/>
      <c r="AD758" s="1"/>
      <c r="AE758" s="1"/>
      <c r="AF758" s="1"/>
      <c r="AG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</row>
    <row r="759" spans="1:5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S759" s="1"/>
      <c r="T759" s="1"/>
      <c r="U759" s="1"/>
      <c r="V759" s="1"/>
      <c r="W759" s="1"/>
      <c r="X759" s="1"/>
      <c r="AB759" s="1"/>
      <c r="AC759" s="1"/>
      <c r="AD759" s="1"/>
      <c r="AE759" s="1"/>
      <c r="AF759" s="1"/>
      <c r="AG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</row>
    <row r="760" spans="1:5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S760" s="1"/>
      <c r="T760" s="1"/>
      <c r="U760" s="1"/>
      <c r="V760" s="1"/>
      <c r="W760" s="1"/>
      <c r="X760" s="1"/>
      <c r="AB760" s="1"/>
      <c r="AC760" s="1"/>
      <c r="AD760" s="1"/>
      <c r="AE760" s="1"/>
      <c r="AF760" s="1"/>
      <c r="AG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</row>
    <row r="761" spans="1:5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S761" s="1"/>
      <c r="T761" s="1"/>
      <c r="U761" s="1"/>
      <c r="V761" s="1"/>
      <c r="W761" s="1"/>
      <c r="X761" s="1"/>
      <c r="AB761" s="1"/>
      <c r="AC761" s="1"/>
      <c r="AD761" s="1"/>
      <c r="AE761" s="1"/>
      <c r="AF761" s="1"/>
      <c r="AG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</row>
    <row r="762" spans="1:5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S762" s="1"/>
      <c r="T762" s="1"/>
      <c r="U762" s="1"/>
      <c r="V762" s="1"/>
      <c r="W762" s="1"/>
      <c r="X762" s="1"/>
      <c r="AB762" s="1"/>
      <c r="AC762" s="1"/>
      <c r="AD762" s="1"/>
      <c r="AE762" s="1"/>
      <c r="AF762" s="1"/>
      <c r="AG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</row>
    <row r="763" spans="1:5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S763" s="1"/>
      <c r="T763" s="1"/>
      <c r="U763" s="1"/>
      <c r="V763" s="1"/>
      <c r="W763" s="1"/>
      <c r="X763" s="1"/>
      <c r="AB763" s="1"/>
      <c r="AC763" s="1"/>
      <c r="AD763" s="1"/>
      <c r="AE763" s="1"/>
      <c r="AF763" s="1"/>
      <c r="AG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</row>
    <row r="764" spans="1:5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S764" s="1"/>
      <c r="T764" s="1"/>
      <c r="U764" s="1"/>
      <c r="V764" s="1"/>
      <c r="W764" s="1"/>
      <c r="X764" s="1"/>
      <c r="AB764" s="1"/>
      <c r="AC764" s="1"/>
      <c r="AD764" s="1"/>
      <c r="AE764" s="1"/>
      <c r="AF764" s="1"/>
      <c r="AG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</row>
    <row r="765" spans="1:5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S765" s="1"/>
      <c r="T765" s="1"/>
      <c r="U765" s="1"/>
      <c r="V765" s="1"/>
      <c r="W765" s="1"/>
      <c r="X765" s="1"/>
      <c r="AB765" s="1"/>
      <c r="AC765" s="1"/>
      <c r="AD765" s="1"/>
      <c r="AE765" s="1"/>
      <c r="AF765" s="1"/>
      <c r="AG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</row>
    <row r="766" spans="1:5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S766" s="1"/>
      <c r="T766" s="1"/>
      <c r="U766" s="1"/>
      <c r="V766" s="1"/>
      <c r="W766" s="1"/>
      <c r="X766" s="1"/>
      <c r="AB766" s="1"/>
      <c r="AC766" s="1"/>
      <c r="AD766" s="1"/>
      <c r="AE766" s="1"/>
      <c r="AF766" s="1"/>
      <c r="AG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</row>
    <row r="767" spans="1:5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S767" s="1"/>
      <c r="T767" s="1"/>
      <c r="U767" s="1"/>
      <c r="V767" s="1"/>
      <c r="W767" s="1"/>
      <c r="X767" s="1"/>
      <c r="AB767" s="1"/>
      <c r="AC767" s="1"/>
      <c r="AD767" s="1"/>
      <c r="AE767" s="1"/>
      <c r="AF767" s="1"/>
      <c r="AG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</row>
    <row r="768" spans="1:5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S768" s="1"/>
      <c r="T768" s="1"/>
      <c r="U768" s="1"/>
      <c r="V768" s="1"/>
      <c r="W768" s="1"/>
      <c r="X768" s="1"/>
      <c r="AB768" s="1"/>
      <c r="AC768" s="1"/>
      <c r="AD768" s="1"/>
      <c r="AE768" s="1"/>
      <c r="AF768" s="1"/>
      <c r="AG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</row>
    <row r="769" spans="1:5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S769" s="1"/>
      <c r="T769" s="1"/>
      <c r="U769" s="1"/>
      <c r="V769" s="1"/>
      <c r="W769" s="1"/>
      <c r="X769" s="1"/>
      <c r="AB769" s="1"/>
      <c r="AC769" s="1"/>
      <c r="AD769" s="1"/>
      <c r="AE769" s="1"/>
      <c r="AF769" s="1"/>
      <c r="AG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</row>
    <row r="770" spans="1:5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S770" s="1"/>
      <c r="T770" s="1"/>
      <c r="U770" s="1"/>
      <c r="V770" s="1"/>
      <c r="W770" s="1"/>
      <c r="X770" s="1"/>
      <c r="AB770" s="1"/>
      <c r="AC770" s="1"/>
      <c r="AD770" s="1"/>
      <c r="AE770" s="1"/>
      <c r="AF770" s="1"/>
      <c r="AG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</row>
    <row r="771" spans="1:5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S771" s="1"/>
      <c r="T771" s="1"/>
      <c r="U771" s="1"/>
      <c r="V771" s="1"/>
      <c r="W771" s="1"/>
      <c r="X771" s="1"/>
      <c r="AB771" s="1"/>
      <c r="AC771" s="1"/>
      <c r="AD771" s="1"/>
      <c r="AE771" s="1"/>
      <c r="AF771" s="1"/>
      <c r="AG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</row>
    <row r="772" spans="1:5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S772" s="1"/>
      <c r="T772" s="1"/>
      <c r="U772" s="1"/>
      <c r="V772" s="1"/>
      <c r="W772" s="1"/>
      <c r="X772" s="1"/>
      <c r="AB772" s="1"/>
      <c r="AC772" s="1"/>
      <c r="AD772" s="1"/>
      <c r="AE772" s="1"/>
      <c r="AF772" s="1"/>
      <c r="AG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</row>
    <row r="773" spans="1:5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S773" s="1"/>
      <c r="T773" s="1"/>
      <c r="U773" s="1"/>
      <c r="V773" s="1"/>
      <c r="W773" s="1"/>
      <c r="X773" s="1"/>
      <c r="AB773" s="1"/>
      <c r="AC773" s="1"/>
      <c r="AD773" s="1"/>
      <c r="AE773" s="1"/>
      <c r="AF773" s="1"/>
      <c r="AG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</row>
    <row r="774" spans="1:5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S774" s="1"/>
      <c r="T774" s="1"/>
      <c r="U774" s="1"/>
      <c r="V774" s="1"/>
      <c r="W774" s="1"/>
      <c r="X774" s="1"/>
      <c r="AB774" s="1"/>
      <c r="AC774" s="1"/>
      <c r="AD774" s="1"/>
      <c r="AE774" s="1"/>
      <c r="AF774" s="1"/>
      <c r="AG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</row>
    <row r="775" spans="1:5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S775" s="1"/>
      <c r="T775" s="1"/>
      <c r="U775" s="1"/>
      <c r="V775" s="1"/>
      <c r="W775" s="1"/>
      <c r="X775" s="1"/>
      <c r="AB775" s="1"/>
      <c r="AC775" s="1"/>
      <c r="AD775" s="1"/>
      <c r="AE775" s="1"/>
      <c r="AF775" s="1"/>
      <c r="AG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</row>
    <row r="776" spans="1:5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S776" s="1"/>
      <c r="T776" s="1"/>
      <c r="U776" s="1"/>
      <c r="V776" s="1"/>
      <c r="W776" s="1"/>
      <c r="X776" s="1"/>
      <c r="AB776" s="1"/>
      <c r="AC776" s="1"/>
      <c r="AD776" s="1"/>
      <c r="AE776" s="1"/>
      <c r="AF776" s="1"/>
      <c r="AG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</row>
    <row r="777" spans="1:5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S777" s="1"/>
      <c r="T777" s="1"/>
      <c r="U777" s="1"/>
      <c r="V777" s="1"/>
      <c r="W777" s="1"/>
      <c r="X777" s="1"/>
      <c r="AB777" s="1"/>
      <c r="AC777" s="1"/>
      <c r="AD777" s="1"/>
      <c r="AE777" s="1"/>
      <c r="AF777" s="1"/>
      <c r="AG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</row>
    <row r="778" spans="1:5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S778" s="1"/>
      <c r="T778" s="1"/>
      <c r="U778" s="1"/>
      <c r="V778" s="1"/>
      <c r="W778" s="1"/>
      <c r="X778" s="1"/>
      <c r="AB778" s="1"/>
      <c r="AC778" s="1"/>
      <c r="AD778" s="1"/>
      <c r="AE778" s="1"/>
      <c r="AF778" s="1"/>
      <c r="AG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</row>
    <row r="779" spans="1:5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S779" s="1"/>
      <c r="T779" s="1"/>
      <c r="U779" s="1"/>
      <c r="V779" s="1"/>
      <c r="W779" s="1"/>
      <c r="X779" s="1"/>
      <c r="AB779" s="1"/>
      <c r="AC779" s="1"/>
      <c r="AD779" s="1"/>
      <c r="AE779" s="1"/>
      <c r="AF779" s="1"/>
      <c r="AG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</row>
    <row r="780" spans="1:5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S780" s="1"/>
      <c r="T780" s="1"/>
      <c r="U780" s="1"/>
      <c r="V780" s="1"/>
      <c r="W780" s="1"/>
      <c r="X780" s="1"/>
      <c r="AB780" s="1"/>
      <c r="AC780" s="1"/>
      <c r="AD780" s="1"/>
      <c r="AE780" s="1"/>
      <c r="AF780" s="1"/>
      <c r="AG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</row>
    <row r="781" spans="1:5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S781" s="1"/>
      <c r="T781" s="1"/>
      <c r="U781" s="1"/>
      <c r="V781" s="1"/>
      <c r="W781" s="1"/>
      <c r="X781" s="1"/>
      <c r="AB781" s="1"/>
      <c r="AC781" s="1"/>
      <c r="AD781" s="1"/>
      <c r="AE781" s="1"/>
      <c r="AF781" s="1"/>
      <c r="AG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</row>
    <row r="782" spans="1:5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S782" s="1"/>
      <c r="T782" s="1"/>
      <c r="U782" s="1"/>
      <c r="V782" s="1"/>
      <c r="W782" s="1"/>
      <c r="X782" s="1"/>
      <c r="AB782" s="1"/>
      <c r="AC782" s="1"/>
      <c r="AD782" s="1"/>
      <c r="AE782" s="1"/>
      <c r="AF782" s="1"/>
      <c r="AG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</row>
    <row r="783" spans="1:5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S783" s="1"/>
      <c r="T783" s="1"/>
      <c r="U783" s="1"/>
      <c r="V783" s="1"/>
      <c r="W783" s="1"/>
      <c r="X783" s="1"/>
      <c r="AB783" s="1"/>
      <c r="AC783" s="1"/>
      <c r="AD783" s="1"/>
      <c r="AE783" s="1"/>
      <c r="AF783" s="1"/>
      <c r="AG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</row>
    <row r="784" spans="1:5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S784" s="1"/>
      <c r="T784" s="1"/>
      <c r="U784" s="1"/>
      <c r="V784" s="1"/>
      <c r="W784" s="1"/>
      <c r="X784" s="1"/>
      <c r="AB784" s="1"/>
      <c r="AC784" s="1"/>
      <c r="AD784" s="1"/>
      <c r="AE784" s="1"/>
      <c r="AF784" s="1"/>
      <c r="AG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</row>
    <row r="785" spans="1:5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S785" s="1"/>
      <c r="T785" s="1"/>
      <c r="U785" s="1"/>
      <c r="V785" s="1"/>
      <c r="W785" s="1"/>
      <c r="X785" s="1"/>
      <c r="AB785" s="1"/>
      <c r="AC785" s="1"/>
      <c r="AD785" s="1"/>
      <c r="AE785" s="1"/>
      <c r="AF785" s="1"/>
      <c r="AG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</row>
    <row r="786" spans="1:5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S786" s="1"/>
      <c r="T786" s="1"/>
      <c r="U786" s="1"/>
      <c r="V786" s="1"/>
      <c r="W786" s="1"/>
      <c r="X786" s="1"/>
      <c r="AB786" s="1"/>
      <c r="AC786" s="1"/>
      <c r="AD786" s="1"/>
      <c r="AE786" s="1"/>
      <c r="AF786" s="1"/>
      <c r="AG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</row>
    <row r="787" spans="1:5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S787" s="1"/>
      <c r="T787" s="1"/>
      <c r="U787" s="1"/>
      <c r="V787" s="1"/>
      <c r="W787" s="1"/>
      <c r="X787" s="1"/>
      <c r="AB787" s="1"/>
      <c r="AC787" s="1"/>
      <c r="AD787" s="1"/>
      <c r="AE787" s="1"/>
      <c r="AF787" s="1"/>
      <c r="AG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</row>
    <row r="788" spans="1:5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S788" s="1"/>
      <c r="T788" s="1"/>
      <c r="U788" s="1"/>
      <c r="V788" s="1"/>
      <c r="W788" s="1"/>
      <c r="X788" s="1"/>
      <c r="AB788" s="1"/>
      <c r="AC788" s="1"/>
      <c r="AD788" s="1"/>
      <c r="AE788" s="1"/>
      <c r="AF788" s="1"/>
      <c r="AG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</row>
    <row r="789" spans="1:5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S789" s="1"/>
      <c r="T789" s="1"/>
      <c r="U789" s="1"/>
      <c r="V789" s="1"/>
      <c r="W789" s="1"/>
      <c r="X789" s="1"/>
      <c r="AB789" s="1"/>
      <c r="AC789" s="1"/>
      <c r="AD789" s="1"/>
      <c r="AE789" s="1"/>
      <c r="AF789" s="1"/>
      <c r="AG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</row>
    <row r="790" spans="1:5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S790" s="1"/>
      <c r="T790" s="1"/>
      <c r="U790" s="1"/>
      <c r="V790" s="1"/>
      <c r="W790" s="1"/>
      <c r="X790" s="1"/>
      <c r="AB790" s="1"/>
      <c r="AC790" s="1"/>
      <c r="AD790" s="1"/>
      <c r="AE790" s="1"/>
      <c r="AF790" s="1"/>
      <c r="AG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</row>
    <row r="791" spans="1:5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S791" s="1"/>
      <c r="T791" s="1"/>
      <c r="U791" s="1"/>
      <c r="V791" s="1"/>
      <c r="W791" s="1"/>
      <c r="X791" s="1"/>
      <c r="AB791" s="1"/>
      <c r="AC791" s="1"/>
      <c r="AD791" s="1"/>
      <c r="AE791" s="1"/>
      <c r="AF791" s="1"/>
      <c r="AG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</row>
    <row r="792" spans="1:5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S792" s="1"/>
      <c r="T792" s="1"/>
      <c r="U792" s="1"/>
      <c r="V792" s="1"/>
      <c r="W792" s="1"/>
      <c r="X792" s="1"/>
      <c r="AB792" s="1"/>
      <c r="AC792" s="1"/>
      <c r="AD792" s="1"/>
      <c r="AE792" s="1"/>
      <c r="AF792" s="1"/>
      <c r="AG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</row>
    <row r="793" spans="1:5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S793" s="1"/>
      <c r="T793" s="1"/>
      <c r="U793" s="1"/>
      <c r="V793" s="1"/>
      <c r="W793" s="1"/>
      <c r="X793" s="1"/>
      <c r="AB793" s="1"/>
      <c r="AC793" s="1"/>
      <c r="AD793" s="1"/>
      <c r="AE793" s="1"/>
      <c r="AF793" s="1"/>
      <c r="AG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</row>
    <row r="794" spans="1:5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S794" s="1"/>
      <c r="T794" s="1"/>
      <c r="U794" s="1"/>
      <c r="V794" s="1"/>
      <c r="W794" s="1"/>
      <c r="X794" s="1"/>
      <c r="AB794" s="1"/>
      <c r="AC794" s="1"/>
      <c r="AD794" s="1"/>
      <c r="AE794" s="1"/>
      <c r="AF794" s="1"/>
      <c r="AG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</row>
    <row r="795" spans="1:5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S795" s="1"/>
      <c r="T795" s="1"/>
      <c r="U795" s="1"/>
      <c r="V795" s="1"/>
      <c r="W795" s="1"/>
      <c r="X795" s="1"/>
      <c r="AB795" s="1"/>
      <c r="AC795" s="1"/>
      <c r="AD795" s="1"/>
      <c r="AE795" s="1"/>
      <c r="AF795" s="1"/>
      <c r="AG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</row>
    <row r="796" spans="1:5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S796" s="1"/>
      <c r="T796" s="1"/>
      <c r="U796" s="1"/>
      <c r="V796" s="1"/>
      <c r="W796" s="1"/>
      <c r="X796" s="1"/>
      <c r="AB796" s="1"/>
      <c r="AC796" s="1"/>
      <c r="AD796" s="1"/>
      <c r="AE796" s="1"/>
      <c r="AF796" s="1"/>
      <c r="AG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</row>
    <row r="797" spans="1:5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S797" s="1"/>
      <c r="T797" s="1"/>
      <c r="U797" s="1"/>
      <c r="V797" s="1"/>
      <c r="W797" s="1"/>
      <c r="X797" s="1"/>
      <c r="AB797" s="1"/>
      <c r="AC797" s="1"/>
      <c r="AD797" s="1"/>
      <c r="AE797" s="1"/>
      <c r="AF797" s="1"/>
      <c r="AG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</row>
    <row r="798" spans="1:5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S798" s="1"/>
      <c r="T798" s="1"/>
      <c r="U798" s="1"/>
      <c r="V798" s="1"/>
      <c r="W798" s="1"/>
      <c r="X798" s="1"/>
      <c r="AB798" s="1"/>
      <c r="AC798" s="1"/>
      <c r="AD798" s="1"/>
      <c r="AE798" s="1"/>
      <c r="AF798" s="1"/>
      <c r="AG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</row>
    <row r="799" spans="1:5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S799" s="1"/>
      <c r="T799" s="1"/>
      <c r="U799" s="1"/>
      <c r="V799" s="1"/>
      <c r="W799" s="1"/>
      <c r="X799" s="1"/>
      <c r="AB799" s="1"/>
      <c r="AC799" s="1"/>
      <c r="AD799" s="1"/>
      <c r="AE799" s="1"/>
      <c r="AF799" s="1"/>
      <c r="AG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</row>
    <row r="800" spans="1:5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S800" s="1"/>
      <c r="T800" s="1"/>
      <c r="U800" s="1"/>
      <c r="V800" s="1"/>
      <c r="W800" s="1"/>
      <c r="X800" s="1"/>
      <c r="AB800" s="1"/>
      <c r="AC800" s="1"/>
      <c r="AD800" s="1"/>
      <c r="AE800" s="1"/>
      <c r="AF800" s="1"/>
      <c r="AG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</row>
    <row r="801" spans="1:5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S801" s="1"/>
      <c r="T801" s="1"/>
      <c r="U801" s="1"/>
      <c r="V801" s="1"/>
      <c r="W801" s="1"/>
      <c r="X801" s="1"/>
      <c r="AB801" s="1"/>
      <c r="AC801" s="1"/>
      <c r="AD801" s="1"/>
      <c r="AE801" s="1"/>
      <c r="AF801" s="1"/>
      <c r="AG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</row>
    <row r="802" spans="1:5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S802" s="1"/>
      <c r="T802" s="1"/>
      <c r="U802" s="1"/>
      <c r="V802" s="1"/>
      <c r="W802" s="1"/>
      <c r="X802" s="1"/>
      <c r="AB802" s="1"/>
      <c r="AC802" s="1"/>
      <c r="AD802" s="1"/>
      <c r="AE802" s="1"/>
      <c r="AF802" s="1"/>
      <c r="AG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</row>
    <row r="803" spans="1:5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S803" s="1"/>
      <c r="T803" s="1"/>
      <c r="U803" s="1"/>
      <c r="V803" s="1"/>
      <c r="W803" s="1"/>
      <c r="X803" s="1"/>
      <c r="AB803" s="1"/>
      <c r="AC803" s="1"/>
      <c r="AD803" s="1"/>
      <c r="AE803" s="1"/>
      <c r="AF803" s="1"/>
      <c r="AG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</row>
    <row r="804" spans="1:5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S804" s="1"/>
      <c r="T804" s="1"/>
      <c r="U804" s="1"/>
      <c r="V804" s="1"/>
      <c r="W804" s="1"/>
      <c r="X804" s="1"/>
      <c r="AB804" s="1"/>
      <c r="AC804" s="1"/>
      <c r="AD804" s="1"/>
      <c r="AE804" s="1"/>
      <c r="AF804" s="1"/>
      <c r="AG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</row>
    <row r="805" spans="1:5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S805" s="1"/>
      <c r="T805" s="1"/>
      <c r="U805" s="1"/>
      <c r="V805" s="1"/>
      <c r="W805" s="1"/>
      <c r="X805" s="1"/>
      <c r="AB805" s="1"/>
      <c r="AC805" s="1"/>
      <c r="AD805" s="1"/>
      <c r="AE805" s="1"/>
      <c r="AF805" s="1"/>
      <c r="AG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</row>
    <row r="806" spans="1:5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S806" s="1"/>
      <c r="T806" s="1"/>
      <c r="U806" s="1"/>
      <c r="V806" s="1"/>
      <c r="W806" s="1"/>
      <c r="X806" s="1"/>
      <c r="AB806" s="1"/>
      <c r="AC806" s="1"/>
      <c r="AD806" s="1"/>
      <c r="AE806" s="1"/>
      <c r="AF806" s="1"/>
      <c r="AG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</row>
    <row r="807" spans="1:5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S807" s="1"/>
      <c r="T807" s="1"/>
      <c r="U807" s="1"/>
      <c r="V807" s="1"/>
      <c r="W807" s="1"/>
      <c r="X807" s="1"/>
      <c r="AB807" s="1"/>
      <c r="AC807" s="1"/>
      <c r="AD807" s="1"/>
      <c r="AE807" s="1"/>
      <c r="AF807" s="1"/>
      <c r="AG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</row>
    <row r="808" spans="1:5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S808" s="1"/>
      <c r="T808" s="1"/>
      <c r="U808" s="1"/>
      <c r="V808" s="1"/>
      <c r="W808" s="1"/>
      <c r="X808" s="1"/>
      <c r="AB808" s="1"/>
      <c r="AC808" s="1"/>
      <c r="AD808" s="1"/>
      <c r="AE808" s="1"/>
      <c r="AF808" s="1"/>
      <c r="AG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</row>
    <row r="809" spans="1:5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S809" s="1"/>
      <c r="T809" s="1"/>
      <c r="U809" s="1"/>
      <c r="V809" s="1"/>
      <c r="W809" s="1"/>
      <c r="X809" s="1"/>
      <c r="AB809" s="1"/>
      <c r="AC809" s="1"/>
      <c r="AD809" s="1"/>
      <c r="AE809" s="1"/>
      <c r="AF809" s="1"/>
      <c r="AG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</row>
    <row r="810" spans="1:5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S810" s="1"/>
      <c r="T810" s="1"/>
      <c r="U810" s="1"/>
      <c r="V810" s="1"/>
      <c r="W810" s="1"/>
      <c r="X810" s="1"/>
      <c r="AB810" s="1"/>
      <c r="AC810" s="1"/>
      <c r="AD810" s="1"/>
      <c r="AE810" s="1"/>
      <c r="AF810" s="1"/>
      <c r="AG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</row>
    <row r="811" spans="1:5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S811" s="1"/>
      <c r="T811" s="1"/>
      <c r="U811" s="1"/>
      <c r="V811" s="1"/>
      <c r="W811" s="1"/>
      <c r="X811" s="1"/>
      <c r="AB811" s="1"/>
      <c r="AC811" s="1"/>
      <c r="AD811" s="1"/>
      <c r="AE811" s="1"/>
      <c r="AF811" s="1"/>
      <c r="AG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</row>
    <row r="812" spans="1:5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S812" s="1"/>
      <c r="T812" s="1"/>
      <c r="U812" s="1"/>
      <c r="V812" s="1"/>
      <c r="W812" s="1"/>
      <c r="X812" s="1"/>
      <c r="AB812" s="1"/>
      <c r="AC812" s="1"/>
      <c r="AD812" s="1"/>
      <c r="AE812" s="1"/>
      <c r="AF812" s="1"/>
      <c r="AG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</row>
    <row r="813" spans="1:5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S813" s="1"/>
      <c r="T813" s="1"/>
      <c r="U813" s="1"/>
      <c r="V813" s="1"/>
      <c r="W813" s="1"/>
      <c r="X813" s="1"/>
      <c r="AB813" s="1"/>
      <c r="AC813" s="1"/>
      <c r="AD813" s="1"/>
      <c r="AE813" s="1"/>
      <c r="AF813" s="1"/>
      <c r="AG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</row>
    <row r="814" spans="1:5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S814" s="1"/>
      <c r="T814" s="1"/>
      <c r="U814" s="1"/>
      <c r="V814" s="1"/>
      <c r="W814" s="1"/>
      <c r="X814" s="1"/>
      <c r="AB814" s="1"/>
      <c r="AC814" s="1"/>
      <c r="AD814" s="1"/>
      <c r="AE814" s="1"/>
      <c r="AF814" s="1"/>
      <c r="AG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</row>
    <row r="815" spans="1:5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S815" s="1"/>
      <c r="T815" s="1"/>
      <c r="U815" s="1"/>
      <c r="V815" s="1"/>
      <c r="W815" s="1"/>
      <c r="X815" s="1"/>
      <c r="AB815" s="1"/>
      <c r="AC815" s="1"/>
      <c r="AD815" s="1"/>
      <c r="AE815" s="1"/>
      <c r="AF815" s="1"/>
      <c r="AG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</row>
    <row r="816" spans="1:5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S816" s="1"/>
      <c r="T816" s="1"/>
      <c r="U816" s="1"/>
      <c r="V816" s="1"/>
      <c r="W816" s="1"/>
      <c r="X816" s="1"/>
      <c r="AB816" s="1"/>
      <c r="AC816" s="1"/>
      <c r="AD816" s="1"/>
      <c r="AE816" s="1"/>
      <c r="AF816" s="1"/>
      <c r="AG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</row>
    <row r="817" spans="1:5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S817" s="1"/>
      <c r="T817" s="1"/>
      <c r="U817" s="1"/>
      <c r="V817" s="1"/>
      <c r="W817" s="1"/>
      <c r="X817" s="1"/>
      <c r="AB817" s="1"/>
      <c r="AC817" s="1"/>
      <c r="AD817" s="1"/>
      <c r="AE817" s="1"/>
      <c r="AF817" s="1"/>
      <c r="AG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</row>
    <row r="818" spans="1:5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S818" s="1"/>
      <c r="T818" s="1"/>
      <c r="U818" s="1"/>
      <c r="V818" s="1"/>
      <c r="W818" s="1"/>
      <c r="X818" s="1"/>
      <c r="AB818" s="1"/>
      <c r="AC818" s="1"/>
      <c r="AD818" s="1"/>
      <c r="AE818" s="1"/>
      <c r="AF818" s="1"/>
      <c r="AG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</row>
    <row r="819" spans="1:5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S819" s="1"/>
      <c r="T819" s="1"/>
      <c r="U819" s="1"/>
      <c r="V819" s="1"/>
      <c r="W819" s="1"/>
      <c r="X819" s="1"/>
      <c r="AB819" s="1"/>
      <c r="AC819" s="1"/>
      <c r="AD819" s="1"/>
      <c r="AE819" s="1"/>
      <c r="AF819" s="1"/>
      <c r="AG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</row>
    <row r="820" spans="1:5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S820" s="1"/>
      <c r="T820" s="1"/>
      <c r="U820" s="1"/>
      <c r="V820" s="1"/>
      <c r="W820" s="1"/>
      <c r="X820" s="1"/>
      <c r="AB820" s="1"/>
      <c r="AC820" s="1"/>
      <c r="AD820" s="1"/>
      <c r="AE820" s="1"/>
      <c r="AF820" s="1"/>
      <c r="AG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</row>
    <row r="821" spans="1:5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S821" s="1"/>
      <c r="T821" s="1"/>
      <c r="U821" s="1"/>
      <c r="V821" s="1"/>
      <c r="W821" s="1"/>
      <c r="X821" s="1"/>
      <c r="AB821" s="1"/>
      <c r="AC821" s="1"/>
      <c r="AD821" s="1"/>
      <c r="AE821" s="1"/>
      <c r="AF821" s="1"/>
      <c r="AG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</row>
    <row r="822" spans="1:5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S822" s="1"/>
      <c r="T822" s="1"/>
      <c r="U822" s="1"/>
      <c r="V822" s="1"/>
      <c r="W822" s="1"/>
      <c r="X822" s="1"/>
      <c r="AB822" s="1"/>
      <c r="AC822" s="1"/>
      <c r="AD822" s="1"/>
      <c r="AE822" s="1"/>
      <c r="AF822" s="1"/>
      <c r="AG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</row>
    <row r="823" spans="1:5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S823" s="1"/>
      <c r="T823" s="1"/>
      <c r="U823" s="1"/>
      <c r="V823" s="1"/>
      <c r="W823" s="1"/>
      <c r="X823" s="1"/>
      <c r="AB823" s="1"/>
      <c r="AC823" s="1"/>
      <c r="AD823" s="1"/>
      <c r="AE823" s="1"/>
      <c r="AF823" s="1"/>
      <c r="AG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</row>
    <row r="824" spans="1:5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S824" s="1"/>
      <c r="T824" s="1"/>
      <c r="U824" s="1"/>
      <c r="V824" s="1"/>
      <c r="W824" s="1"/>
      <c r="X824" s="1"/>
      <c r="AB824" s="1"/>
      <c r="AC824" s="1"/>
      <c r="AD824" s="1"/>
      <c r="AE824" s="1"/>
      <c r="AF824" s="1"/>
      <c r="AG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</row>
    <row r="825" spans="1:5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S825" s="1"/>
      <c r="T825" s="1"/>
      <c r="U825" s="1"/>
      <c r="V825" s="1"/>
      <c r="W825" s="1"/>
      <c r="X825" s="1"/>
      <c r="AB825" s="1"/>
      <c r="AC825" s="1"/>
      <c r="AD825" s="1"/>
      <c r="AE825" s="1"/>
      <c r="AF825" s="1"/>
      <c r="AG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</row>
    <row r="826" spans="1:5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S826" s="1"/>
      <c r="T826" s="1"/>
      <c r="U826" s="1"/>
      <c r="V826" s="1"/>
      <c r="W826" s="1"/>
      <c r="X826" s="1"/>
      <c r="AB826" s="1"/>
      <c r="AC826" s="1"/>
      <c r="AD826" s="1"/>
      <c r="AE826" s="1"/>
      <c r="AF826" s="1"/>
      <c r="AG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</row>
    <row r="827" spans="1:5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S827" s="1"/>
      <c r="T827" s="1"/>
      <c r="U827" s="1"/>
      <c r="V827" s="1"/>
      <c r="W827" s="1"/>
      <c r="X827" s="1"/>
      <c r="AB827" s="1"/>
      <c r="AC827" s="1"/>
      <c r="AD827" s="1"/>
      <c r="AE827" s="1"/>
      <c r="AF827" s="1"/>
      <c r="AG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</row>
    <row r="828" spans="1:5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S828" s="1"/>
      <c r="T828" s="1"/>
      <c r="U828" s="1"/>
      <c r="V828" s="1"/>
      <c r="W828" s="1"/>
      <c r="X828" s="1"/>
      <c r="AB828" s="1"/>
      <c r="AC828" s="1"/>
      <c r="AD828" s="1"/>
      <c r="AE828" s="1"/>
      <c r="AF828" s="1"/>
      <c r="AG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</row>
    <row r="829" spans="1:5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S829" s="1"/>
      <c r="T829" s="1"/>
      <c r="U829" s="1"/>
      <c r="V829" s="1"/>
      <c r="W829" s="1"/>
      <c r="X829" s="1"/>
      <c r="AB829" s="1"/>
      <c r="AC829" s="1"/>
      <c r="AD829" s="1"/>
      <c r="AE829" s="1"/>
      <c r="AF829" s="1"/>
      <c r="AG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</row>
    <row r="830" spans="1:5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S830" s="1"/>
      <c r="T830" s="1"/>
      <c r="U830" s="1"/>
      <c r="V830" s="1"/>
      <c r="W830" s="1"/>
      <c r="X830" s="1"/>
      <c r="AB830" s="1"/>
      <c r="AC830" s="1"/>
      <c r="AD830" s="1"/>
      <c r="AE830" s="1"/>
      <c r="AF830" s="1"/>
      <c r="AG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</row>
    <row r="831" spans="1:5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S831" s="1"/>
      <c r="T831" s="1"/>
      <c r="U831" s="1"/>
      <c r="V831" s="1"/>
      <c r="W831" s="1"/>
      <c r="X831" s="1"/>
      <c r="AB831" s="1"/>
      <c r="AC831" s="1"/>
      <c r="AD831" s="1"/>
      <c r="AE831" s="1"/>
      <c r="AF831" s="1"/>
      <c r="AG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</row>
    <row r="832" spans="1:5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S832" s="1"/>
      <c r="T832" s="1"/>
      <c r="U832" s="1"/>
      <c r="V832" s="1"/>
      <c r="W832" s="1"/>
      <c r="X832" s="1"/>
      <c r="AB832" s="1"/>
      <c r="AC832" s="1"/>
      <c r="AD832" s="1"/>
      <c r="AE832" s="1"/>
      <c r="AF832" s="1"/>
      <c r="AG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</row>
    <row r="833" spans="1:5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S833" s="1"/>
      <c r="T833" s="1"/>
      <c r="U833" s="1"/>
      <c r="V833" s="1"/>
      <c r="W833" s="1"/>
      <c r="X833" s="1"/>
      <c r="AB833" s="1"/>
      <c r="AC833" s="1"/>
      <c r="AD833" s="1"/>
      <c r="AE833" s="1"/>
      <c r="AF833" s="1"/>
      <c r="AG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</row>
    <row r="834" spans="1:5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S834" s="1"/>
      <c r="T834" s="1"/>
      <c r="U834" s="1"/>
      <c r="V834" s="1"/>
      <c r="W834" s="1"/>
      <c r="X834" s="1"/>
      <c r="AB834" s="1"/>
      <c r="AC834" s="1"/>
      <c r="AD834" s="1"/>
      <c r="AE834" s="1"/>
      <c r="AF834" s="1"/>
      <c r="AG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</row>
    <row r="835" spans="1:5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S835" s="1"/>
      <c r="T835" s="1"/>
      <c r="U835" s="1"/>
      <c r="V835" s="1"/>
      <c r="W835" s="1"/>
      <c r="X835" s="1"/>
      <c r="AB835" s="1"/>
      <c r="AC835" s="1"/>
      <c r="AD835" s="1"/>
      <c r="AE835" s="1"/>
      <c r="AF835" s="1"/>
      <c r="AG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</row>
    <row r="836" spans="1:5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S836" s="1"/>
      <c r="T836" s="1"/>
      <c r="U836" s="1"/>
      <c r="V836" s="1"/>
      <c r="W836" s="1"/>
      <c r="X836" s="1"/>
      <c r="AB836" s="1"/>
      <c r="AC836" s="1"/>
      <c r="AD836" s="1"/>
      <c r="AE836" s="1"/>
      <c r="AF836" s="1"/>
      <c r="AG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</row>
    <row r="837" spans="1:5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S837" s="1"/>
      <c r="T837" s="1"/>
      <c r="U837" s="1"/>
      <c r="V837" s="1"/>
      <c r="W837" s="1"/>
      <c r="X837" s="1"/>
      <c r="AB837" s="1"/>
      <c r="AC837" s="1"/>
      <c r="AD837" s="1"/>
      <c r="AE837" s="1"/>
      <c r="AF837" s="1"/>
      <c r="AG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</row>
    <row r="838" spans="1:5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S838" s="1"/>
      <c r="T838" s="1"/>
      <c r="U838" s="1"/>
      <c r="V838" s="1"/>
      <c r="W838" s="1"/>
      <c r="X838" s="1"/>
      <c r="AB838" s="1"/>
      <c r="AC838" s="1"/>
      <c r="AD838" s="1"/>
      <c r="AE838" s="1"/>
      <c r="AF838" s="1"/>
      <c r="AG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</row>
    <row r="839" spans="1:5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S839" s="1"/>
      <c r="T839" s="1"/>
      <c r="U839" s="1"/>
      <c r="V839" s="1"/>
      <c r="W839" s="1"/>
      <c r="X839" s="1"/>
      <c r="AB839" s="1"/>
      <c r="AC839" s="1"/>
      <c r="AD839" s="1"/>
      <c r="AE839" s="1"/>
      <c r="AF839" s="1"/>
      <c r="AG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</row>
    <row r="840" spans="1:5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S840" s="1"/>
      <c r="T840" s="1"/>
      <c r="U840" s="1"/>
      <c r="V840" s="1"/>
      <c r="W840" s="1"/>
      <c r="X840" s="1"/>
      <c r="AB840" s="1"/>
      <c r="AC840" s="1"/>
      <c r="AD840" s="1"/>
      <c r="AE840" s="1"/>
      <c r="AF840" s="1"/>
      <c r="AG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</row>
    <row r="841" spans="1:5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S841" s="1"/>
      <c r="T841" s="1"/>
      <c r="U841" s="1"/>
      <c r="V841" s="1"/>
      <c r="W841" s="1"/>
      <c r="X841" s="1"/>
      <c r="AB841" s="1"/>
      <c r="AC841" s="1"/>
      <c r="AD841" s="1"/>
      <c r="AE841" s="1"/>
      <c r="AF841" s="1"/>
      <c r="AG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</row>
    <row r="842" spans="1:5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S842" s="1"/>
      <c r="T842" s="1"/>
      <c r="U842" s="1"/>
      <c r="V842" s="1"/>
      <c r="W842" s="1"/>
      <c r="X842" s="1"/>
      <c r="AB842" s="1"/>
      <c r="AC842" s="1"/>
      <c r="AD842" s="1"/>
      <c r="AE842" s="1"/>
      <c r="AF842" s="1"/>
      <c r="AG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</row>
    <row r="843" spans="1:5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S843" s="1"/>
      <c r="T843" s="1"/>
      <c r="U843" s="1"/>
      <c r="V843" s="1"/>
      <c r="W843" s="1"/>
      <c r="X843" s="1"/>
      <c r="AB843" s="1"/>
      <c r="AC843" s="1"/>
      <c r="AD843" s="1"/>
      <c r="AE843" s="1"/>
      <c r="AF843" s="1"/>
      <c r="AG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</row>
    <row r="844" spans="1:5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S844" s="1"/>
      <c r="T844" s="1"/>
      <c r="U844" s="1"/>
      <c r="V844" s="1"/>
      <c r="W844" s="1"/>
      <c r="X844" s="1"/>
      <c r="AB844" s="1"/>
      <c r="AC844" s="1"/>
      <c r="AD844" s="1"/>
      <c r="AE844" s="1"/>
      <c r="AF844" s="1"/>
      <c r="AG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</row>
    <row r="845" spans="1:5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S845" s="1"/>
      <c r="T845" s="1"/>
      <c r="U845" s="1"/>
      <c r="V845" s="1"/>
      <c r="W845" s="1"/>
      <c r="X845" s="1"/>
      <c r="AB845" s="1"/>
      <c r="AC845" s="1"/>
      <c r="AD845" s="1"/>
      <c r="AE845" s="1"/>
      <c r="AF845" s="1"/>
      <c r="AG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</row>
    <row r="846" spans="1:5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S846" s="1"/>
      <c r="T846" s="1"/>
      <c r="U846" s="1"/>
      <c r="V846" s="1"/>
      <c r="W846" s="1"/>
      <c r="X846" s="1"/>
      <c r="AB846" s="1"/>
      <c r="AC846" s="1"/>
      <c r="AD846" s="1"/>
      <c r="AE846" s="1"/>
      <c r="AF846" s="1"/>
      <c r="AG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</row>
    <row r="847" spans="1:5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S847" s="1"/>
      <c r="T847" s="1"/>
      <c r="U847" s="1"/>
      <c r="V847" s="1"/>
      <c r="W847" s="1"/>
      <c r="X847" s="1"/>
      <c r="AB847" s="1"/>
      <c r="AC847" s="1"/>
      <c r="AD847" s="1"/>
      <c r="AE847" s="1"/>
      <c r="AF847" s="1"/>
      <c r="AG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</row>
    <row r="848" spans="1:5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S848" s="1"/>
      <c r="T848" s="1"/>
      <c r="U848" s="1"/>
      <c r="V848" s="1"/>
      <c r="W848" s="1"/>
      <c r="X848" s="1"/>
      <c r="AB848" s="1"/>
      <c r="AC848" s="1"/>
      <c r="AD848" s="1"/>
      <c r="AE848" s="1"/>
      <c r="AF848" s="1"/>
      <c r="AG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</row>
    <row r="849" spans="1:5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S849" s="1"/>
      <c r="T849" s="1"/>
      <c r="U849" s="1"/>
      <c r="V849" s="1"/>
      <c r="W849" s="1"/>
      <c r="X849" s="1"/>
      <c r="AB849" s="1"/>
      <c r="AC849" s="1"/>
      <c r="AD849" s="1"/>
      <c r="AE849" s="1"/>
      <c r="AF849" s="1"/>
      <c r="AG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</row>
    <row r="850" spans="1:5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S850" s="1"/>
      <c r="T850" s="1"/>
      <c r="U850" s="1"/>
      <c r="V850" s="1"/>
      <c r="W850" s="1"/>
      <c r="X850" s="1"/>
      <c r="AB850" s="1"/>
      <c r="AC850" s="1"/>
      <c r="AD850" s="1"/>
      <c r="AE850" s="1"/>
      <c r="AF850" s="1"/>
      <c r="AG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</row>
    <row r="851" spans="1:5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S851" s="1"/>
      <c r="T851" s="1"/>
      <c r="U851" s="1"/>
      <c r="V851" s="1"/>
      <c r="W851" s="1"/>
      <c r="X851" s="1"/>
      <c r="AB851" s="1"/>
      <c r="AC851" s="1"/>
      <c r="AD851" s="1"/>
      <c r="AE851" s="1"/>
      <c r="AF851" s="1"/>
      <c r="AG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</row>
    <row r="852" spans="1:5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S852" s="1"/>
      <c r="T852" s="1"/>
      <c r="U852" s="1"/>
      <c r="V852" s="1"/>
      <c r="W852" s="1"/>
      <c r="X852" s="1"/>
      <c r="AB852" s="1"/>
      <c r="AC852" s="1"/>
      <c r="AD852" s="1"/>
      <c r="AE852" s="1"/>
      <c r="AF852" s="1"/>
      <c r="AG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</row>
    <row r="853" spans="1:5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S853" s="1"/>
      <c r="T853" s="1"/>
      <c r="U853" s="1"/>
      <c r="V853" s="1"/>
      <c r="W853" s="1"/>
      <c r="X853" s="1"/>
      <c r="AB853" s="1"/>
      <c r="AC853" s="1"/>
      <c r="AD853" s="1"/>
      <c r="AE853" s="1"/>
      <c r="AF853" s="1"/>
      <c r="AG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</row>
    <row r="854" spans="1:5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S854" s="1"/>
      <c r="T854" s="1"/>
      <c r="U854" s="1"/>
      <c r="V854" s="1"/>
      <c r="W854" s="1"/>
      <c r="X854" s="1"/>
      <c r="AB854" s="1"/>
      <c r="AC854" s="1"/>
      <c r="AD854" s="1"/>
      <c r="AE854" s="1"/>
      <c r="AF854" s="1"/>
      <c r="AG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</row>
    <row r="855" spans="1:5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S855" s="1"/>
      <c r="T855" s="1"/>
      <c r="U855" s="1"/>
      <c r="V855" s="1"/>
      <c r="W855" s="1"/>
      <c r="X855" s="1"/>
      <c r="AB855" s="1"/>
      <c r="AC855" s="1"/>
      <c r="AD855" s="1"/>
      <c r="AE855" s="1"/>
      <c r="AF855" s="1"/>
      <c r="AG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</row>
    <row r="856" spans="1:5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S856" s="1"/>
      <c r="T856" s="1"/>
      <c r="U856" s="1"/>
      <c r="V856" s="1"/>
      <c r="W856" s="1"/>
      <c r="X856" s="1"/>
      <c r="AB856" s="1"/>
      <c r="AC856" s="1"/>
      <c r="AD856" s="1"/>
      <c r="AE856" s="1"/>
      <c r="AF856" s="1"/>
      <c r="AG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</row>
    <row r="857" spans="1:5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S857" s="1"/>
      <c r="T857" s="1"/>
      <c r="U857" s="1"/>
      <c r="V857" s="1"/>
      <c r="W857" s="1"/>
      <c r="X857" s="1"/>
      <c r="AB857" s="1"/>
      <c r="AC857" s="1"/>
      <c r="AD857" s="1"/>
      <c r="AE857" s="1"/>
      <c r="AF857" s="1"/>
      <c r="AG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</row>
    <row r="858" spans="1:5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S858" s="1"/>
      <c r="T858" s="1"/>
      <c r="U858" s="1"/>
      <c r="V858" s="1"/>
      <c r="W858" s="1"/>
      <c r="X858" s="1"/>
      <c r="AB858" s="1"/>
      <c r="AC858" s="1"/>
      <c r="AD858" s="1"/>
      <c r="AE858" s="1"/>
      <c r="AF858" s="1"/>
      <c r="AG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</row>
    <row r="859" spans="1:5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S859" s="1"/>
      <c r="T859" s="1"/>
      <c r="U859" s="1"/>
      <c r="V859" s="1"/>
      <c r="W859" s="1"/>
      <c r="X859" s="1"/>
      <c r="AB859" s="1"/>
      <c r="AC859" s="1"/>
      <c r="AD859" s="1"/>
      <c r="AE859" s="1"/>
      <c r="AF859" s="1"/>
      <c r="AG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</row>
    <row r="860" spans="1:5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S860" s="1"/>
      <c r="T860" s="1"/>
      <c r="U860" s="1"/>
      <c r="V860" s="1"/>
      <c r="W860" s="1"/>
      <c r="X860" s="1"/>
      <c r="AB860" s="1"/>
      <c r="AC860" s="1"/>
      <c r="AD860" s="1"/>
      <c r="AE860" s="1"/>
      <c r="AF860" s="1"/>
      <c r="AG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</row>
    <row r="861" spans="1:5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S861" s="1"/>
      <c r="T861" s="1"/>
      <c r="U861" s="1"/>
      <c r="V861" s="1"/>
      <c r="W861" s="1"/>
      <c r="X861" s="1"/>
      <c r="AB861" s="1"/>
      <c r="AC861" s="1"/>
      <c r="AD861" s="1"/>
      <c r="AE861" s="1"/>
      <c r="AF861" s="1"/>
      <c r="AG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</row>
    <row r="862" spans="1:5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S862" s="1"/>
      <c r="T862" s="1"/>
      <c r="U862" s="1"/>
      <c r="V862" s="1"/>
      <c r="W862" s="1"/>
      <c r="X862" s="1"/>
      <c r="AB862" s="1"/>
      <c r="AC862" s="1"/>
      <c r="AD862" s="1"/>
      <c r="AE862" s="1"/>
      <c r="AF862" s="1"/>
      <c r="AG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</row>
    <row r="863" spans="1:5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S863" s="1"/>
      <c r="T863" s="1"/>
      <c r="U863" s="1"/>
      <c r="V863" s="1"/>
      <c r="W863" s="1"/>
      <c r="X863" s="1"/>
      <c r="AB863" s="1"/>
      <c r="AC863" s="1"/>
      <c r="AD863" s="1"/>
      <c r="AE863" s="1"/>
      <c r="AF863" s="1"/>
      <c r="AG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</row>
    <row r="864" spans="1:5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S864" s="1"/>
      <c r="T864" s="1"/>
      <c r="U864" s="1"/>
      <c r="V864" s="1"/>
      <c r="W864" s="1"/>
      <c r="X864" s="1"/>
      <c r="AB864" s="1"/>
      <c r="AC864" s="1"/>
      <c r="AD864" s="1"/>
      <c r="AE864" s="1"/>
      <c r="AF864" s="1"/>
      <c r="AG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</row>
    <row r="865" spans="1:5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S865" s="1"/>
      <c r="T865" s="1"/>
      <c r="U865" s="1"/>
      <c r="V865" s="1"/>
      <c r="W865" s="1"/>
      <c r="X865" s="1"/>
      <c r="AB865" s="1"/>
      <c r="AC865" s="1"/>
      <c r="AD865" s="1"/>
      <c r="AE865" s="1"/>
      <c r="AF865" s="1"/>
      <c r="AG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</row>
    <row r="866" spans="1:5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S866" s="1"/>
      <c r="T866" s="1"/>
      <c r="U866" s="1"/>
      <c r="V866" s="1"/>
      <c r="W866" s="1"/>
      <c r="X866" s="1"/>
      <c r="AB866" s="1"/>
      <c r="AC866" s="1"/>
      <c r="AD866" s="1"/>
      <c r="AE866" s="1"/>
      <c r="AF866" s="1"/>
      <c r="AG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</row>
    <row r="867" spans="1:5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S867" s="1"/>
      <c r="T867" s="1"/>
      <c r="U867" s="1"/>
      <c r="V867" s="1"/>
      <c r="W867" s="1"/>
      <c r="X867" s="1"/>
      <c r="AB867" s="1"/>
      <c r="AC867" s="1"/>
      <c r="AD867" s="1"/>
      <c r="AE867" s="1"/>
      <c r="AF867" s="1"/>
      <c r="AG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</row>
    <row r="868" spans="1:5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S868" s="1"/>
      <c r="T868" s="1"/>
      <c r="U868" s="1"/>
      <c r="V868" s="1"/>
      <c r="W868" s="1"/>
      <c r="X868" s="1"/>
      <c r="AB868" s="1"/>
      <c r="AC868" s="1"/>
      <c r="AD868" s="1"/>
      <c r="AE868" s="1"/>
      <c r="AF868" s="1"/>
      <c r="AG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</row>
    <row r="869" spans="1:5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S869" s="1"/>
      <c r="T869" s="1"/>
      <c r="U869" s="1"/>
      <c r="V869" s="1"/>
      <c r="W869" s="1"/>
      <c r="X869" s="1"/>
      <c r="AB869" s="1"/>
      <c r="AC869" s="1"/>
      <c r="AD869" s="1"/>
      <c r="AE869" s="1"/>
      <c r="AF869" s="1"/>
      <c r="AG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</row>
    <row r="870" spans="1:5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S870" s="1"/>
      <c r="T870" s="1"/>
      <c r="U870" s="1"/>
      <c r="V870" s="1"/>
      <c r="W870" s="1"/>
      <c r="X870" s="1"/>
      <c r="AB870" s="1"/>
      <c r="AC870" s="1"/>
      <c r="AD870" s="1"/>
      <c r="AE870" s="1"/>
      <c r="AF870" s="1"/>
      <c r="AG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</row>
    <row r="871" spans="1:5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S871" s="1"/>
      <c r="T871" s="1"/>
      <c r="U871" s="1"/>
      <c r="V871" s="1"/>
      <c r="W871" s="1"/>
      <c r="X871" s="1"/>
      <c r="AB871" s="1"/>
      <c r="AC871" s="1"/>
      <c r="AD871" s="1"/>
      <c r="AE871" s="1"/>
      <c r="AF871" s="1"/>
      <c r="AG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</row>
    <row r="872" spans="1:5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S872" s="1"/>
      <c r="T872" s="1"/>
      <c r="U872" s="1"/>
      <c r="V872" s="1"/>
      <c r="W872" s="1"/>
      <c r="X872" s="1"/>
      <c r="AB872" s="1"/>
      <c r="AC872" s="1"/>
      <c r="AD872" s="1"/>
      <c r="AE872" s="1"/>
      <c r="AF872" s="1"/>
      <c r="AG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</row>
    <row r="873" spans="1:5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S873" s="1"/>
      <c r="T873" s="1"/>
      <c r="U873" s="1"/>
      <c r="V873" s="1"/>
      <c r="W873" s="1"/>
      <c r="X873" s="1"/>
      <c r="AB873" s="1"/>
      <c r="AC873" s="1"/>
      <c r="AD873" s="1"/>
      <c r="AE873" s="1"/>
      <c r="AF873" s="1"/>
      <c r="AG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</row>
    <row r="874" spans="1:5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S874" s="1"/>
      <c r="T874" s="1"/>
      <c r="U874" s="1"/>
      <c r="V874" s="1"/>
      <c r="W874" s="1"/>
      <c r="X874" s="1"/>
      <c r="AB874" s="1"/>
      <c r="AC874" s="1"/>
      <c r="AD874" s="1"/>
      <c r="AE874" s="1"/>
      <c r="AF874" s="1"/>
      <c r="AG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</row>
    <row r="875" spans="1:5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S875" s="1"/>
      <c r="T875" s="1"/>
      <c r="U875" s="1"/>
      <c r="V875" s="1"/>
      <c r="W875" s="1"/>
      <c r="X875" s="1"/>
      <c r="AB875" s="1"/>
      <c r="AC875" s="1"/>
      <c r="AD875" s="1"/>
      <c r="AE875" s="1"/>
      <c r="AF875" s="1"/>
      <c r="AG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</row>
    <row r="876" spans="1:5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S876" s="1"/>
      <c r="T876" s="1"/>
      <c r="U876" s="1"/>
      <c r="V876" s="1"/>
      <c r="W876" s="1"/>
      <c r="X876" s="1"/>
      <c r="AB876" s="1"/>
      <c r="AC876" s="1"/>
      <c r="AD876" s="1"/>
      <c r="AE876" s="1"/>
      <c r="AF876" s="1"/>
      <c r="AG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</row>
    <row r="877" spans="1:5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S877" s="1"/>
      <c r="T877" s="1"/>
      <c r="U877" s="1"/>
      <c r="V877" s="1"/>
      <c r="W877" s="1"/>
      <c r="X877" s="1"/>
      <c r="AB877" s="1"/>
      <c r="AC877" s="1"/>
      <c r="AD877" s="1"/>
      <c r="AE877" s="1"/>
      <c r="AF877" s="1"/>
      <c r="AG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</row>
    <row r="878" spans="1:5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S878" s="1"/>
      <c r="T878" s="1"/>
      <c r="U878" s="1"/>
      <c r="V878" s="1"/>
      <c r="W878" s="1"/>
      <c r="X878" s="1"/>
      <c r="AB878" s="1"/>
      <c r="AC878" s="1"/>
      <c r="AD878" s="1"/>
      <c r="AE878" s="1"/>
      <c r="AF878" s="1"/>
      <c r="AG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</row>
    <row r="879" spans="1:5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S879" s="1"/>
      <c r="T879" s="1"/>
      <c r="U879" s="1"/>
      <c r="V879" s="1"/>
      <c r="W879" s="1"/>
      <c r="X879" s="1"/>
      <c r="AB879" s="1"/>
      <c r="AC879" s="1"/>
      <c r="AD879" s="1"/>
      <c r="AE879" s="1"/>
      <c r="AF879" s="1"/>
      <c r="AG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</row>
    <row r="880" spans="1:5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S880" s="1"/>
      <c r="T880" s="1"/>
      <c r="U880" s="1"/>
      <c r="V880" s="1"/>
      <c r="W880" s="1"/>
      <c r="X880" s="1"/>
      <c r="AB880" s="1"/>
      <c r="AC880" s="1"/>
      <c r="AD880" s="1"/>
      <c r="AE880" s="1"/>
      <c r="AF880" s="1"/>
      <c r="AG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</row>
    <row r="881" spans="1:5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S881" s="1"/>
      <c r="T881" s="1"/>
      <c r="U881" s="1"/>
      <c r="V881" s="1"/>
      <c r="W881" s="1"/>
      <c r="X881" s="1"/>
      <c r="AB881" s="1"/>
      <c r="AC881" s="1"/>
      <c r="AD881" s="1"/>
      <c r="AE881" s="1"/>
      <c r="AF881" s="1"/>
      <c r="AG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</row>
    <row r="882" spans="1:5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S882" s="1"/>
      <c r="T882" s="1"/>
      <c r="U882" s="1"/>
      <c r="V882" s="1"/>
      <c r="W882" s="1"/>
      <c r="X882" s="1"/>
      <c r="AB882" s="1"/>
      <c r="AC882" s="1"/>
      <c r="AD882" s="1"/>
      <c r="AE882" s="1"/>
      <c r="AF882" s="1"/>
      <c r="AG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</row>
    <row r="883" spans="1:5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S883" s="1"/>
      <c r="T883" s="1"/>
      <c r="U883" s="1"/>
      <c r="V883" s="1"/>
      <c r="W883" s="1"/>
      <c r="X883" s="1"/>
      <c r="AB883" s="1"/>
      <c r="AC883" s="1"/>
      <c r="AD883" s="1"/>
      <c r="AE883" s="1"/>
      <c r="AF883" s="1"/>
      <c r="AG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</row>
    <row r="884" spans="1:5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S884" s="1"/>
      <c r="T884" s="1"/>
      <c r="U884" s="1"/>
      <c r="V884" s="1"/>
      <c r="W884" s="1"/>
      <c r="X884" s="1"/>
      <c r="AB884" s="1"/>
      <c r="AC884" s="1"/>
      <c r="AD884" s="1"/>
      <c r="AE884" s="1"/>
      <c r="AF884" s="1"/>
      <c r="AG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</row>
    <row r="885" spans="1:5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S885" s="1"/>
      <c r="T885" s="1"/>
      <c r="U885" s="1"/>
      <c r="V885" s="1"/>
      <c r="W885" s="1"/>
      <c r="X885" s="1"/>
      <c r="AB885" s="1"/>
      <c r="AC885" s="1"/>
      <c r="AD885" s="1"/>
      <c r="AE885" s="1"/>
      <c r="AF885" s="1"/>
      <c r="AG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</row>
    <row r="886" spans="1:5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S886" s="1"/>
      <c r="T886" s="1"/>
      <c r="U886" s="1"/>
      <c r="V886" s="1"/>
      <c r="W886" s="1"/>
      <c r="X886" s="1"/>
      <c r="AB886" s="1"/>
      <c r="AC886" s="1"/>
      <c r="AD886" s="1"/>
      <c r="AE886" s="1"/>
      <c r="AF886" s="1"/>
      <c r="AG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</row>
    <row r="887" spans="1:5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S887" s="1"/>
      <c r="T887" s="1"/>
      <c r="U887" s="1"/>
      <c r="V887" s="1"/>
      <c r="W887" s="1"/>
      <c r="X887" s="1"/>
      <c r="AB887" s="1"/>
      <c r="AC887" s="1"/>
      <c r="AD887" s="1"/>
      <c r="AE887" s="1"/>
      <c r="AF887" s="1"/>
      <c r="AG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</row>
    <row r="888" spans="1:5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S888" s="1"/>
      <c r="T888" s="1"/>
      <c r="U888" s="1"/>
      <c r="V888" s="1"/>
      <c r="W888" s="1"/>
      <c r="X888" s="1"/>
      <c r="AB888" s="1"/>
      <c r="AC888" s="1"/>
      <c r="AD888" s="1"/>
      <c r="AE888" s="1"/>
      <c r="AF888" s="1"/>
      <c r="AG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</row>
    <row r="889" spans="1:5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S889" s="1"/>
      <c r="T889" s="1"/>
      <c r="U889" s="1"/>
      <c r="V889" s="1"/>
      <c r="W889" s="1"/>
      <c r="X889" s="1"/>
      <c r="AB889" s="1"/>
      <c r="AC889" s="1"/>
      <c r="AD889" s="1"/>
      <c r="AE889" s="1"/>
      <c r="AF889" s="1"/>
      <c r="AG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</row>
    <row r="890" spans="1:5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S890" s="1"/>
      <c r="T890" s="1"/>
      <c r="U890" s="1"/>
      <c r="V890" s="1"/>
      <c r="W890" s="1"/>
      <c r="X890" s="1"/>
      <c r="AB890" s="1"/>
      <c r="AC890" s="1"/>
      <c r="AD890" s="1"/>
      <c r="AE890" s="1"/>
      <c r="AF890" s="1"/>
      <c r="AG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</row>
    <row r="891" spans="1:5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S891" s="1"/>
      <c r="T891" s="1"/>
      <c r="U891" s="1"/>
      <c r="V891" s="1"/>
      <c r="W891" s="1"/>
      <c r="X891" s="1"/>
      <c r="AB891" s="1"/>
      <c r="AC891" s="1"/>
      <c r="AD891" s="1"/>
      <c r="AE891" s="1"/>
      <c r="AF891" s="1"/>
      <c r="AG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</row>
    <row r="892" spans="1:5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S892" s="1"/>
      <c r="T892" s="1"/>
      <c r="U892" s="1"/>
      <c r="V892" s="1"/>
      <c r="W892" s="1"/>
      <c r="X892" s="1"/>
      <c r="AB892" s="1"/>
      <c r="AC892" s="1"/>
      <c r="AD892" s="1"/>
      <c r="AE892" s="1"/>
      <c r="AF892" s="1"/>
      <c r="AG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</row>
    <row r="893" spans="1:5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S893" s="1"/>
      <c r="T893" s="1"/>
      <c r="U893" s="1"/>
      <c r="V893" s="1"/>
      <c r="W893" s="1"/>
      <c r="X893" s="1"/>
      <c r="AB893" s="1"/>
      <c r="AC893" s="1"/>
      <c r="AD893" s="1"/>
      <c r="AE893" s="1"/>
      <c r="AF893" s="1"/>
      <c r="AG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</row>
    <row r="894" spans="1:5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S894" s="1"/>
      <c r="T894" s="1"/>
      <c r="U894" s="1"/>
      <c r="V894" s="1"/>
      <c r="W894" s="1"/>
      <c r="X894" s="1"/>
      <c r="AB894" s="1"/>
      <c r="AC894" s="1"/>
      <c r="AD894" s="1"/>
      <c r="AE894" s="1"/>
      <c r="AF894" s="1"/>
      <c r="AG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</row>
    <row r="895" spans="1:5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S895" s="1"/>
      <c r="T895" s="1"/>
      <c r="U895" s="1"/>
      <c r="V895" s="1"/>
      <c r="W895" s="1"/>
      <c r="X895" s="1"/>
      <c r="AB895" s="1"/>
      <c r="AC895" s="1"/>
      <c r="AD895" s="1"/>
      <c r="AE895" s="1"/>
      <c r="AF895" s="1"/>
      <c r="AG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</row>
    <row r="896" spans="1:5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S896" s="1"/>
      <c r="T896" s="1"/>
      <c r="U896" s="1"/>
      <c r="V896" s="1"/>
      <c r="W896" s="1"/>
      <c r="X896" s="1"/>
      <c r="AB896" s="1"/>
      <c r="AC896" s="1"/>
      <c r="AD896" s="1"/>
      <c r="AE896" s="1"/>
      <c r="AF896" s="1"/>
      <c r="AG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</row>
    <row r="897" spans="1:5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S897" s="1"/>
      <c r="T897" s="1"/>
      <c r="U897" s="1"/>
      <c r="V897" s="1"/>
      <c r="W897" s="1"/>
      <c r="X897" s="1"/>
      <c r="AB897" s="1"/>
      <c r="AC897" s="1"/>
      <c r="AD897" s="1"/>
      <c r="AE897" s="1"/>
      <c r="AF897" s="1"/>
      <c r="AG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</row>
    <row r="898" spans="1:5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S898" s="1"/>
      <c r="T898" s="1"/>
      <c r="U898" s="1"/>
      <c r="V898" s="1"/>
      <c r="W898" s="1"/>
      <c r="X898" s="1"/>
      <c r="AB898" s="1"/>
      <c r="AC898" s="1"/>
      <c r="AD898" s="1"/>
      <c r="AE898" s="1"/>
      <c r="AF898" s="1"/>
      <c r="AG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</row>
    <row r="899" spans="1:5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S899" s="1"/>
      <c r="T899" s="1"/>
      <c r="U899" s="1"/>
      <c r="V899" s="1"/>
      <c r="W899" s="1"/>
      <c r="X899" s="1"/>
      <c r="AB899" s="1"/>
      <c r="AC899" s="1"/>
      <c r="AD899" s="1"/>
      <c r="AE899" s="1"/>
      <c r="AF899" s="1"/>
      <c r="AG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</row>
    <row r="900" spans="1:5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S900" s="1"/>
      <c r="T900" s="1"/>
      <c r="U900" s="1"/>
      <c r="V900" s="1"/>
      <c r="W900" s="1"/>
      <c r="X900" s="1"/>
      <c r="AB900" s="1"/>
      <c r="AC900" s="1"/>
      <c r="AD900" s="1"/>
      <c r="AE900" s="1"/>
      <c r="AF900" s="1"/>
      <c r="AG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</row>
    <row r="901" spans="1:5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S901" s="1"/>
      <c r="T901" s="1"/>
      <c r="U901" s="1"/>
      <c r="V901" s="1"/>
      <c r="W901" s="1"/>
      <c r="X901" s="1"/>
      <c r="AB901" s="1"/>
      <c r="AC901" s="1"/>
      <c r="AD901" s="1"/>
      <c r="AE901" s="1"/>
      <c r="AF901" s="1"/>
      <c r="AG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</row>
    <row r="902" spans="1:5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S902" s="1"/>
      <c r="T902" s="1"/>
      <c r="U902" s="1"/>
      <c r="V902" s="1"/>
      <c r="W902" s="1"/>
      <c r="X902" s="1"/>
      <c r="AB902" s="1"/>
      <c r="AC902" s="1"/>
      <c r="AD902" s="1"/>
      <c r="AE902" s="1"/>
      <c r="AF902" s="1"/>
      <c r="AG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</row>
    <row r="903" spans="1:5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S903" s="1"/>
      <c r="T903" s="1"/>
      <c r="U903" s="1"/>
      <c r="V903" s="1"/>
      <c r="W903" s="1"/>
      <c r="X903" s="1"/>
      <c r="AB903" s="1"/>
      <c r="AC903" s="1"/>
      <c r="AD903" s="1"/>
      <c r="AE903" s="1"/>
      <c r="AF903" s="1"/>
      <c r="AG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</row>
    <row r="904" spans="1:5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S904" s="1"/>
      <c r="T904" s="1"/>
      <c r="U904" s="1"/>
      <c r="V904" s="1"/>
      <c r="W904" s="1"/>
      <c r="X904" s="1"/>
      <c r="AB904" s="1"/>
      <c r="AC904" s="1"/>
      <c r="AD904" s="1"/>
      <c r="AE904" s="1"/>
      <c r="AF904" s="1"/>
      <c r="AG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</row>
    <row r="905" spans="1:5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S905" s="1"/>
      <c r="T905" s="1"/>
      <c r="U905" s="1"/>
      <c r="V905" s="1"/>
      <c r="W905" s="1"/>
      <c r="X905" s="1"/>
      <c r="AB905" s="1"/>
      <c r="AC905" s="1"/>
      <c r="AD905" s="1"/>
      <c r="AE905" s="1"/>
      <c r="AF905" s="1"/>
      <c r="AG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</row>
    <row r="906" spans="1:5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S906" s="1"/>
      <c r="T906" s="1"/>
      <c r="U906" s="1"/>
      <c r="V906" s="1"/>
      <c r="W906" s="1"/>
      <c r="X906" s="1"/>
      <c r="AB906" s="1"/>
      <c r="AC906" s="1"/>
      <c r="AD906" s="1"/>
      <c r="AE906" s="1"/>
      <c r="AF906" s="1"/>
      <c r="AG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</row>
    <row r="907" spans="1:5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S907" s="1"/>
      <c r="T907" s="1"/>
      <c r="U907" s="1"/>
      <c r="V907" s="1"/>
      <c r="W907" s="1"/>
      <c r="X907" s="1"/>
      <c r="AB907" s="1"/>
      <c r="AC907" s="1"/>
      <c r="AD907" s="1"/>
      <c r="AE907" s="1"/>
      <c r="AF907" s="1"/>
      <c r="AG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</row>
    <row r="908" spans="1:5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S908" s="1"/>
      <c r="T908" s="1"/>
      <c r="U908" s="1"/>
      <c r="V908" s="1"/>
      <c r="W908" s="1"/>
      <c r="X908" s="1"/>
      <c r="AB908" s="1"/>
      <c r="AC908" s="1"/>
      <c r="AD908" s="1"/>
      <c r="AE908" s="1"/>
      <c r="AF908" s="1"/>
      <c r="AG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</row>
    <row r="909" spans="1:5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S909" s="1"/>
      <c r="T909" s="1"/>
      <c r="U909" s="1"/>
      <c r="V909" s="1"/>
      <c r="W909" s="1"/>
      <c r="X909" s="1"/>
      <c r="AB909" s="1"/>
      <c r="AC909" s="1"/>
      <c r="AD909" s="1"/>
      <c r="AE909" s="1"/>
      <c r="AF909" s="1"/>
      <c r="AG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</row>
    <row r="910" spans="1:5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S910" s="1"/>
      <c r="T910" s="1"/>
      <c r="U910" s="1"/>
      <c r="V910" s="1"/>
      <c r="W910" s="1"/>
      <c r="X910" s="1"/>
      <c r="AB910" s="1"/>
      <c r="AC910" s="1"/>
      <c r="AD910" s="1"/>
      <c r="AE910" s="1"/>
      <c r="AF910" s="1"/>
      <c r="AG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</row>
    <row r="911" spans="1:5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S911" s="1"/>
      <c r="T911" s="1"/>
      <c r="U911" s="1"/>
      <c r="V911" s="1"/>
      <c r="W911" s="1"/>
      <c r="X911" s="1"/>
      <c r="AB911" s="1"/>
      <c r="AC911" s="1"/>
      <c r="AD911" s="1"/>
      <c r="AE911" s="1"/>
      <c r="AF911" s="1"/>
      <c r="AG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</row>
    <row r="912" spans="1:5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S912" s="1"/>
      <c r="T912" s="1"/>
      <c r="U912" s="1"/>
      <c r="V912" s="1"/>
      <c r="W912" s="1"/>
      <c r="X912" s="1"/>
      <c r="AB912" s="1"/>
      <c r="AC912" s="1"/>
      <c r="AD912" s="1"/>
      <c r="AE912" s="1"/>
      <c r="AF912" s="1"/>
      <c r="AG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</row>
    <row r="913" spans="1:5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S913" s="1"/>
      <c r="T913" s="1"/>
      <c r="U913" s="1"/>
      <c r="V913" s="1"/>
      <c r="W913" s="1"/>
      <c r="X913" s="1"/>
      <c r="AB913" s="1"/>
      <c r="AC913" s="1"/>
      <c r="AD913" s="1"/>
      <c r="AE913" s="1"/>
      <c r="AF913" s="1"/>
      <c r="AG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</row>
    <row r="914" spans="1:5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S914" s="1"/>
      <c r="T914" s="1"/>
      <c r="U914" s="1"/>
      <c r="V914" s="1"/>
      <c r="W914" s="1"/>
      <c r="X914" s="1"/>
      <c r="AB914" s="1"/>
      <c r="AC914" s="1"/>
      <c r="AD914" s="1"/>
      <c r="AE914" s="1"/>
      <c r="AF914" s="1"/>
      <c r="AG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</row>
    <row r="915" spans="1:5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S915" s="1"/>
      <c r="T915" s="1"/>
      <c r="U915" s="1"/>
      <c r="V915" s="1"/>
      <c r="W915" s="1"/>
      <c r="X915" s="1"/>
      <c r="AB915" s="1"/>
      <c r="AC915" s="1"/>
      <c r="AD915" s="1"/>
      <c r="AE915" s="1"/>
      <c r="AF915" s="1"/>
      <c r="AG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</row>
    <row r="916" spans="1:5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S916" s="1"/>
      <c r="T916" s="1"/>
      <c r="U916" s="1"/>
      <c r="V916" s="1"/>
      <c r="W916" s="1"/>
      <c r="X916" s="1"/>
      <c r="AB916" s="1"/>
      <c r="AC916" s="1"/>
      <c r="AD916" s="1"/>
      <c r="AE916" s="1"/>
      <c r="AF916" s="1"/>
      <c r="AG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</row>
    <row r="917" spans="1:5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S917" s="1"/>
      <c r="T917" s="1"/>
      <c r="U917" s="1"/>
      <c r="V917" s="1"/>
      <c r="W917" s="1"/>
      <c r="X917" s="1"/>
      <c r="AB917" s="1"/>
      <c r="AC917" s="1"/>
      <c r="AD917" s="1"/>
      <c r="AE917" s="1"/>
      <c r="AF917" s="1"/>
      <c r="AG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</row>
    <row r="918" spans="1:5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S918" s="1"/>
      <c r="T918" s="1"/>
      <c r="U918" s="1"/>
      <c r="V918" s="1"/>
      <c r="W918" s="1"/>
      <c r="X918" s="1"/>
      <c r="AB918" s="1"/>
      <c r="AC918" s="1"/>
      <c r="AD918" s="1"/>
      <c r="AE918" s="1"/>
      <c r="AF918" s="1"/>
      <c r="AG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</row>
    <row r="919" spans="1:5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S919" s="1"/>
      <c r="T919" s="1"/>
      <c r="U919" s="1"/>
      <c r="V919" s="1"/>
      <c r="W919" s="1"/>
      <c r="X919" s="1"/>
      <c r="AB919" s="1"/>
      <c r="AC919" s="1"/>
      <c r="AD919" s="1"/>
      <c r="AE919" s="1"/>
      <c r="AF919" s="1"/>
      <c r="AG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</row>
    <row r="920" spans="1:5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S920" s="1"/>
      <c r="T920" s="1"/>
      <c r="U920" s="1"/>
      <c r="V920" s="1"/>
      <c r="W920" s="1"/>
      <c r="X920" s="1"/>
      <c r="AB920" s="1"/>
      <c r="AC920" s="1"/>
      <c r="AD920" s="1"/>
      <c r="AE920" s="1"/>
      <c r="AF920" s="1"/>
      <c r="AG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</row>
    <row r="921" spans="1:5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S921" s="1"/>
      <c r="T921" s="1"/>
      <c r="U921" s="1"/>
      <c r="V921" s="1"/>
      <c r="W921" s="1"/>
      <c r="X921" s="1"/>
      <c r="AB921" s="1"/>
      <c r="AC921" s="1"/>
      <c r="AD921" s="1"/>
      <c r="AE921" s="1"/>
      <c r="AF921" s="1"/>
      <c r="AG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</row>
    <row r="922" spans="1:5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S922" s="1"/>
      <c r="T922" s="1"/>
      <c r="U922" s="1"/>
      <c r="V922" s="1"/>
      <c r="W922" s="1"/>
      <c r="X922" s="1"/>
      <c r="AB922" s="1"/>
      <c r="AC922" s="1"/>
      <c r="AD922" s="1"/>
      <c r="AE922" s="1"/>
      <c r="AF922" s="1"/>
      <c r="AG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</row>
    <row r="923" spans="1:5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S923" s="1"/>
      <c r="T923" s="1"/>
      <c r="U923" s="1"/>
      <c r="V923" s="1"/>
      <c r="W923" s="1"/>
      <c r="X923" s="1"/>
      <c r="AB923" s="1"/>
      <c r="AC923" s="1"/>
      <c r="AD923" s="1"/>
      <c r="AE923" s="1"/>
      <c r="AF923" s="1"/>
      <c r="AG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</row>
    <row r="924" spans="1:5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S924" s="1"/>
      <c r="T924" s="1"/>
      <c r="U924" s="1"/>
      <c r="V924" s="1"/>
      <c r="W924" s="1"/>
      <c r="X924" s="1"/>
      <c r="AB924" s="1"/>
      <c r="AC924" s="1"/>
      <c r="AD924" s="1"/>
      <c r="AE924" s="1"/>
      <c r="AF924" s="1"/>
      <c r="AG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</row>
    <row r="925" spans="1:5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S925" s="1"/>
      <c r="T925" s="1"/>
      <c r="U925" s="1"/>
      <c r="V925" s="1"/>
      <c r="W925" s="1"/>
      <c r="X925" s="1"/>
      <c r="AB925" s="1"/>
      <c r="AC925" s="1"/>
      <c r="AD925" s="1"/>
      <c r="AE925" s="1"/>
      <c r="AF925" s="1"/>
      <c r="AG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</row>
    <row r="926" spans="1:5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S926" s="1"/>
      <c r="T926" s="1"/>
      <c r="U926" s="1"/>
      <c r="V926" s="1"/>
      <c r="W926" s="1"/>
      <c r="X926" s="1"/>
      <c r="AB926" s="1"/>
      <c r="AC926" s="1"/>
      <c r="AD926" s="1"/>
      <c r="AE926" s="1"/>
      <c r="AF926" s="1"/>
      <c r="AG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</row>
    <row r="927" spans="1:5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S927" s="1"/>
      <c r="T927" s="1"/>
      <c r="U927" s="1"/>
      <c r="V927" s="1"/>
      <c r="W927" s="1"/>
      <c r="X927" s="1"/>
      <c r="AB927" s="1"/>
      <c r="AC927" s="1"/>
      <c r="AD927" s="1"/>
      <c r="AE927" s="1"/>
      <c r="AF927" s="1"/>
      <c r="AG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</row>
    <row r="928" spans="1:5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S928" s="1"/>
      <c r="T928" s="1"/>
      <c r="U928" s="1"/>
      <c r="V928" s="1"/>
      <c r="W928" s="1"/>
      <c r="X928" s="1"/>
      <c r="AB928" s="1"/>
      <c r="AC928" s="1"/>
      <c r="AD928" s="1"/>
      <c r="AE928" s="1"/>
      <c r="AF928" s="1"/>
      <c r="AG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</row>
    <row r="929" spans="1:5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S929" s="1"/>
      <c r="T929" s="1"/>
      <c r="U929" s="1"/>
      <c r="V929" s="1"/>
      <c r="W929" s="1"/>
      <c r="X929" s="1"/>
      <c r="AB929" s="1"/>
      <c r="AC929" s="1"/>
      <c r="AD929" s="1"/>
      <c r="AE929" s="1"/>
      <c r="AF929" s="1"/>
      <c r="AG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</row>
    <row r="930" spans="1:5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S930" s="1"/>
      <c r="T930" s="1"/>
      <c r="U930" s="1"/>
      <c r="V930" s="1"/>
      <c r="W930" s="1"/>
      <c r="X930" s="1"/>
      <c r="AB930" s="1"/>
      <c r="AC930" s="1"/>
      <c r="AD930" s="1"/>
      <c r="AE930" s="1"/>
      <c r="AF930" s="1"/>
      <c r="AG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</row>
    <row r="931" spans="1:5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S931" s="1"/>
      <c r="T931" s="1"/>
      <c r="U931" s="1"/>
      <c r="V931" s="1"/>
      <c r="W931" s="1"/>
      <c r="X931" s="1"/>
      <c r="AB931" s="1"/>
      <c r="AC931" s="1"/>
      <c r="AD931" s="1"/>
      <c r="AE931" s="1"/>
      <c r="AF931" s="1"/>
      <c r="AG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</row>
    <row r="932" spans="1:5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S932" s="1"/>
      <c r="T932" s="1"/>
      <c r="U932" s="1"/>
      <c r="V932" s="1"/>
      <c r="W932" s="1"/>
      <c r="X932" s="1"/>
      <c r="AB932" s="1"/>
      <c r="AC932" s="1"/>
      <c r="AD932" s="1"/>
      <c r="AE932" s="1"/>
      <c r="AF932" s="1"/>
      <c r="AG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</row>
    <row r="933" spans="1:5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S933" s="1"/>
      <c r="T933" s="1"/>
      <c r="U933" s="1"/>
      <c r="V933" s="1"/>
      <c r="W933" s="1"/>
      <c r="X933" s="1"/>
      <c r="AB933" s="1"/>
      <c r="AC933" s="1"/>
      <c r="AD933" s="1"/>
      <c r="AE933" s="1"/>
      <c r="AF933" s="1"/>
      <c r="AG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</row>
    <row r="934" spans="1:5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S934" s="1"/>
      <c r="T934" s="1"/>
      <c r="U934" s="1"/>
      <c r="V934" s="1"/>
      <c r="W934" s="1"/>
      <c r="X934" s="1"/>
      <c r="AB934" s="1"/>
      <c r="AC934" s="1"/>
      <c r="AD934" s="1"/>
      <c r="AE934" s="1"/>
      <c r="AF934" s="1"/>
      <c r="AG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</row>
    <row r="935" spans="1:5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S935" s="1"/>
      <c r="T935" s="1"/>
      <c r="U935" s="1"/>
      <c r="V935" s="1"/>
      <c r="W935" s="1"/>
      <c r="X935" s="1"/>
      <c r="AB935" s="1"/>
      <c r="AC935" s="1"/>
      <c r="AD935" s="1"/>
      <c r="AE935" s="1"/>
      <c r="AF935" s="1"/>
      <c r="AG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</row>
    <row r="936" spans="1:5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S936" s="1"/>
      <c r="T936" s="1"/>
      <c r="U936" s="1"/>
      <c r="V936" s="1"/>
      <c r="W936" s="1"/>
      <c r="X936" s="1"/>
      <c r="AB936" s="1"/>
      <c r="AC936" s="1"/>
      <c r="AD936" s="1"/>
      <c r="AE936" s="1"/>
      <c r="AF936" s="1"/>
      <c r="AG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</row>
    <row r="937" spans="1:5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S937" s="1"/>
      <c r="T937" s="1"/>
      <c r="U937" s="1"/>
      <c r="V937" s="1"/>
      <c r="W937" s="1"/>
      <c r="X937" s="1"/>
      <c r="AB937" s="1"/>
      <c r="AC937" s="1"/>
      <c r="AD937" s="1"/>
      <c r="AE937" s="1"/>
      <c r="AF937" s="1"/>
      <c r="AG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</row>
    <row r="938" spans="1:5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S938" s="1"/>
      <c r="T938" s="1"/>
      <c r="U938" s="1"/>
      <c r="V938" s="1"/>
      <c r="W938" s="1"/>
      <c r="X938" s="1"/>
      <c r="AB938" s="1"/>
      <c r="AC938" s="1"/>
      <c r="AD938" s="1"/>
      <c r="AE938" s="1"/>
      <c r="AF938" s="1"/>
      <c r="AG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</row>
    <row r="939" spans="1:5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S939" s="1"/>
      <c r="T939" s="1"/>
      <c r="U939" s="1"/>
      <c r="V939" s="1"/>
      <c r="W939" s="1"/>
      <c r="X939" s="1"/>
      <c r="AB939" s="1"/>
      <c r="AC939" s="1"/>
      <c r="AD939" s="1"/>
      <c r="AE939" s="1"/>
      <c r="AF939" s="1"/>
      <c r="AG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</row>
    <row r="940" spans="1:5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S940" s="1"/>
      <c r="T940" s="1"/>
      <c r="U940" s="1"/>
      <c r="V940" s="1"/>
      <c r="W940" s="1"/>
      <c r="X940" s="1"/>
      <c r="AB940" s="1"/>
      <c r="AC940" s="1"/>
      <c r="AD940" s="1"/>
      <c r="AE940" s="1"/>
      <c r="AF940" s="1"/>
      <c r="AG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</row>
    <row r="941" spans="1:5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S941" s="1"/>
      <c r="T941" s="1"/>
      <c r="U941" s="1"/>
      <c r="V941" s="1"/>
      <c r="W941" s="1"/>
      <c r="X941" s="1"/>
      <c r="AB941" s="1"/>
      <c r="AC941" s="1"/>
      <c r="AD941" s="1"/>
      <c r="AE941" s="1"/>
      <c r="AF941" s="1"/>
      <c r="AG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</row>
    <row r="942" spans="1:5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S942" s="1"/>
      <c r="T942" s="1"/>
      <c r="U942" s="1"/>
      <c r="V942" s="1"/>
      <c r="W942" s="1"/>
      <c r="X942" s="1"/>
      <c r="AB942" s="1"/>
      <c r="AC942" s="1"/>
      <c r="AD942" s="1"/>
      <c r="AE942" s="1"/>
      <c r="AF942" s="1"/>
      <c r="AG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</row>
    <row r="943" spans="1:5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S943" s="1"/>
      <c r="T943" s="1"/>
      <c r="U943" s="1"/>
      <c r="V943" s="1"/>
      <c r="W943" s="1"/>
      <c r="X943" s="1"/>
      <c r="AB943" s="1"/>
      <c r="AC943" s="1"/>
      <c r="AD943" s="1"/>
      <c r="AE943" s="1"/>
      <c r="AF943" s="1"/>
      <c r="AG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</row>
    <row r="944" spans="1:5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S944" s="1"/>
      <c r="T944" s="1"/>
      <c r="U944" s="1"/>
      <c r="V944" s="1"/>
      <c r="W944" s="1"/>
      <c r="X944" s="1"/>
      <c r="AB944" s="1"/>
      <c r="AC944" s="1"/>
      <c r="AD944" s="1"/>
      <c r="AE944" s="1"/>
      <c r="AF944" s="1"/>
      <c r="AG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</row>
    <row r="945" spans="1:5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S945" s="1"/>
      <c r="T945" s="1"/>
      <c r="U945" s="1"/>
      <c r="V945" s="1"/>
      <c r="W945" s="1"/>
      <c r="X945" s="1"/>
      <c r="AB945" s="1"/>
      <c r="AC945" s="1"/>
      <c r="AD945" s="1"/>
      <c r="AE945" s="1"/>
      <c r="AF945" s="1"/>
      <c r="AG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</row>
    <row r="946" spans="1:5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S946" s="1"/>
      <c r="T946" s="1"/>
      <c r="U946" s="1"/>
      <c r="V946" s="1"/>
      <c r="W946" s="1"/>
      <c r="X946" s="1"/>
      <c r="AB946" s="1"/>
      <c r="AC946" s="1"/>
      <c r="AD946" s="1"/>
      <c r="AE946" s="1"/>
      <c r="AF946" s="1"/>
      <c r="AG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</row>
    <row r="947" spans="1:5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S947" s="1"/>
      <c r="T947" s="1"/>
      <c r="U947" s="1"/>
      <c r="V947" s="1"/>
      <c r="W947" s="1"/>
      <c r="X947" s="1"/>
      <c r="AB947" s="1"/>
      <c r="AC947" s="1"/>
      <c r="AD947" s="1"/>
      <c r="AE947" s="1"/>
      <c r="AF947" s="1"/>
      <c r="AG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</row>
    <row r="948" spans="1:5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S948" s="1"/>
      <c r="T948" s="1"/>
      <c r="U948" s="1"/>
      <c r="V948" s="1"/>
      <c r="W948" s="1"/>
      <c r="X948" s="1"/>
      <c r="AB948" s="1"/>
      <c r="AC948" s="1"/>
      <c r="AD948" s="1"/>
      <c r="AE948" s="1"/>
      <c r="AF948" s="1"/>
      <c r="AG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</row>
    <row r="949" spans="1:5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S949" s="1"/>
      <c r="T949" s="1"/>
      <c r="U949" s="1"/>
      <c r="V949" s="1"/>
      <c r="W949" s="1"/>
      <c r="X949" s="1"/>
      <c r="AB949" s="1"/>
      <c r="AC949" s="1"/>
      <c r="AD949" s="1"/>
      <c r="AE949" s="1"/>
      <c r="AF949" s="1"/>
      <c r="AG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</row>
    <row r="950" spans="1:5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S950" s="1"/>
      <c r="T950" s="1"/>
      <c r="U950" s="1"/>
      <c r="V950" s="1"/>
      <c r="W950" s="1"/>
      <c r="X950" s="1"/>
      <c r="AB950" s="1"/>
      <c r="AC950" s="1"/>
      <c r="AD950" s="1"/>
      <c r="AE950" s="1"/>
      <c r="AF950" s="1"/>
      <c r="AG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</row>
    <row r="951" spans="1:5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S951" s="1"/>
      <c r="T951" s="1"/>
      <c r="U951" s="1"/>
      <c r="V951" s="1"/>
      <c r="W951" s="1"/>
      <c r="X951" s="1"/>
      <c r="AB951" s="1"/>
      <c r="AC951" s="1"/>
      <c r="AD951" s="1"/>
      <c r="AE951" s="1"/>
      <c r="AF951" s="1"/>
      <c r="AG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</row>
    <row r="952" spans="1:5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S952" s="1"/>
      <c r="T952" s="1"/>
      <c r="U952" s="1"/>
      <c r="V952" s="1"/>
      <c r="W952" s="1"/>
      <c r="X952" s="1"/>
      <c r="AB952" s="1"/>
      <c r="AC952" s="1"/>
      <c r="AD952" s="1"/>
      <c r="AE952" s="1"/>
      <c r="AF952" s="1"/>
      <c r="AG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</row>
    <row r="953" spans="1:5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S953" s="1"/>
      <c r="T953" s="1"/>
      <c r="U953" s="1"/>
      <c r="V953" s="1"/>
      <c r="W953" s="1"/>
      <c r="X953" s="1"/>
      <c r="AB953" s="1"/>
      <c r="AC953" s="1"/>
      <c r="AD953" s="1"/>
      <c r="AE953" s="1"/>
      <c r="AF953" s="1"/>
      <c r="AG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</row>
    <row r="954" spans="1:5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S954" s="1"/>
      <c r="T954" s="1"/>
      <c r="U954" s="1"/>
      <c r="V954" s="1"/>
      <c r="W954" s="1"/>
      <c r="X954" s="1"/>
      <c r="AB954" s="1"/>
      <c r="AC954" s="1"/>
      <c r="AD954" s="1"/>
      <c r="AE954" s="1"/>
      <c r="AF954" s="1"/>
      <c r="AG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</row>
    <row r="955" spans="1:5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S955" s="1"/>
      <c r="T955" s="1"/>
      <c r="U955" s="1"/>
      <c r="V955" s="1"/>
      <c r="W955" s="1"/>
      <c r="X955" s="1"/>
      <c r="AB955" s="1"/>
      <c r="AC955" s="1"/>
      <c r="AD955" s="1"/>
      <c r="AE955" s="1"/>
      <c r="AF955" s="1"/>
      <c r="AG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</row>
    <row r="956" spans="1:5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S956" s="1"/>
      <c r="T956" s="1"/>
      <c r="U956" s="1"/>
      <c r="V956" s="1"/>
      <c r="W956" s="1"/>
      <c r="X956" s="1"/>
      <c r="AB956" s="1"/>
      <c r="AC956" s="1"/>
      <c r="AD956" s="1"/>
      <c r="AE956" s="1"/>
      <c r="AF956" s="1"/>
      <c r="AG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</row>
    <row r="957" spans="1:5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S957" s="1"/>
      <c r="T957" s="1"/>
      <c r="U957" s="1"/>
      <c r="V957" s="1"/>
      <c r="W957" s="1"/>
      <c r="X957" s="1"/>
      <c r="AB957" s="1"/>
      <c r="AC957" s="1"/>
      <c r="AD957" s="1"/>
      <c r="AE957" s="1"/>
      <c r="AF957" s="1"/>
      <c r="AG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</row>
    <row r="958" spans="1:5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S958" s="1"/>
      <c r="T958" s="1"/>
      <c r="U958" s="1"/>
      <c r="V958" s="1"/>
      <c r="W958" s="1"/>
      <c r="X958" s="1"/>
      <c r="AB958" s="1"/>
      <c r="AC958" s="1"/>
      <c r="AD958" s="1"/>
      <c r="AE958" s="1"/>
      <c r="AF958" s="1"/>
      <c r="AG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</row>
    <row r="959" spans="1:5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S959" s="1"/>
      <c r="T959" s="1"/>
      <c r="U959" s="1"/>
      <c r="V959" s="1"/>
      <c r="W959" s="1"/>
      <c r="X959" s="1"/>
      <c r="AB959" s="1"/>
      <c r="AC959" s="1"/>
      <c r="AD959" s="1"/>
      <c r="AE959" s="1"/>
      <c r="AF959" s="1"/>
      <c r="AG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</row>
    <row r="960" spans="1:5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S960" s="1"/>
      <c r="T960" s="1"/>
      <c r="U960" s="1"/>
      <c r="V960" s="1"/>
      <c r="W960" s="1"/>
      <c r="X960" s="1"/>
      <c r="AB960" s="1"/>
      <c r="AC960" s="1"/>
      <c r="AD960" s="1"/>
      <c r="AE960" s="1"/>
      <c r="AF960" s="1"/>
      <c r="AG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</row>
    <row r="961" spans="1:5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S961" s="1"/>
      <c r="T961" s="1"/>
      <c r="U961" s="1"/>
      <c r="V961" s="1"/>
      <c r="W961" s="1"/>
      <c r="X961" s="1"/>
      <c r="AB961" s="1"/>
      <c r="AC961" s="1"/>
      <c r="AD961" s="1"/>
      <c r="AE961" s="1"/>
      <c r="AF961" s="1"/>
      <c r="AG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</row>
    <row r="962" spans="1:5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S962" s="1"/>
      <c r="T962" s="1"/>
      <c r="U962" s="1"/>
      <c r="V962" s="1"/>
      <c r="W962" s="1"/>
      <c r="X962" s="1"/>
      <c r="AB962" s="1"/>
      <c r="AC962" s="1"/>
      <c r="AD962" s="1"/>
      <c r="AE962" s="1"/>
      <c r="AF962" s="1"/>
      <c r="AG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</row>
    <row r="963" spans="1:5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S963" s="1"/>
      <c r="T963" s="1"/>
      <c r="U963" s="1"/>
      <c r="V963" s="1"/>
      <c r="W963" s="1"/>
      <c r="X963" s="1"/>
      <c r="AB963" s="1"/>
      <c r="AC963" s="1"/>
      <c r="AD963" s="1"/>
      <c r="AE963" s="1"/>
      <c r="AF963" s="1"/>
      <c r="AG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</row>
    <row r="964" spans="1:5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S964" s="1"/>
      <c r="T964" s="1"/>
      <c r="U964" s="1"/>
      <c r="V964" s="1"/>
      <c r="W964" s="1"/>
      <c r="X964" s="1"/>
      <c r="AB964" s="1"/>
      <c r="AC964" s="1"/>
      <c r="AD964" s="1"/>
      <c r="AE964" s="1"/>
      <c r="AF964" s="1"/>
      <c r="AG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</row>
    <row r="965" spans="1:5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S965" s="1"/>
      <c r="T965" s="1"/>
      <c r="U965" s="1"/>
      <c r="V965" s="1"/>
      <c r="W965" s="1"/>
      <c r="X965" s="1"/>
      <c r="AB965" s="1"/>
      <c r="AC965" s="1"/>
      <c r="AD965" s="1"/>
      <c r="AE965" s="1"/>
      <c r="AF965" s="1"/>
      <c r="AG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</row>
    <row r="966" spans="1:5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S966" s="1"/>
      <c r="T966" s="1"/>
      <c r="U966" s="1"/>
      <c r="V966" s="1"/>
      <c r="W966" s="1"/>
      <c r="X966" s="1"/>
      <c r="AB966" s="1"/>
      <c r="AC966" s="1"/>
      <c r="AD966" s="1"/>
      <c r="AE966" s="1"/>
      <c r="AF966" s="1"/>
      <c r="AG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</row>
    <row r="967" spans="1:5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S967" s="1"/>
      <c r="T967" s="1"/>
      <c r="U967" s="1"/>
      <c r="V967" s="1"/>
      <c r="W967" s="1"/>
      <c r="X967" s="1"/>
      <c r="AB967" s="1"/>
      <c r="AC967" s="1"/>
      <c r="AD967" s="1"/>
      <c r="AE967" s="1"/>
      <c r="AF967" s="1"/>
      <c r="AG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</row>
    <row r="968" spans="1:5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S968" s="1"/>
      <c r="T968" s="1"/>
      <c r="U968" s="1"/>
      <c r="V968" s="1"/>
      <c r="W968" s="1"/>
      <c r="X968" s="1"/>
      <c r="AB968" s="1"/>
      <c r="AC968" s="1"/>
      <c r="AD968" s="1"/>
      <c r="AE968" s="1"/>
      <c r="AF968" s="1"/>
      <c r="AG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</row>
    <row r="969" spans="1:5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S969" s="1"/>
      <c r="T969" s="1"/>
      <c r="U969" s="1"/>
      <c r="V969" s="1"/>
      <c r="W969" s="1"/>
      <c r="X969" s="1"/>
      <c r="AB969" s="1"/>
      <c r="AC969" s="1"/>
      <c r="AD969" s="1"/>
      <c r="AE969" s="1"/>
      <c r="AF969" s="1"/>
      <c r="AG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</row>
    <row r="970" spans="1:5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S970" s="1"/>
      <c r="T970" s="1"/>
      <c r="U970" s="1"/>
      <c r="V970" s="1"/>
      <c r="W970" s="1"/>
      <c r="X970" s="1"/>
      <c r="AB970" s="1"/>
      <c r="AC970" s="1"/>
      <c r="AD970" s="1"/>
      <c r="AE970" s="1"/>
      <c r="AF970" s="1"/>
      <c r="AG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</row>
    <row r="971" spans="1:5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S971" s="1"/>
      <c r="T971" s="1"/>
      <c r="U971" s="1"/>
      <c r="V971" s="1"/>
      <c r="W971" s="1"/>
      <c r="X971" s="1"/>
      <c r="AB971" s="1"/>
      <c r="AC971" s="1"/>
      <c r="AD971" s="1"/>
      <c r="AE971" s="1"/>
      <c r="AF971" s="1"/>
      <c r="AG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</row>
    <row r="972" spans="1:5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S972" s="1"/>
      <c r="T972" s="1"/>
      <c r="U972" s="1"/>
      <c r="V972" s="1"/>
      <c r="W972" s="1"/>
      <c r="X972" s="1"/>
      <c r="AB972" s="1"/>
      <c r="AC972" s="1"/>
      <c r="AD972" s="1"/>
      <c r="AE972" s="1"/>
      <c r="AF972" s="1"/>
      <c r="AG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</row>
    <row r="973" spans="1:5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S973" s="1"/>
      <c r="T973" s="1"/>
      <c r="U973" s="1"/>
      <c r="V973" s="1"/>
      <c r="W973" s="1"/>
      <c r="X973" s="1"/>
      <c r="AB973" s="1"/>
      <c r="AC973" s="1"/>
      <c r="AD973" s="1"/>
      <c r="AE973" s="1"/>
      <c r="AF973" s="1"/>
      <c r="AG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</row>
    <row r="974" spans="1:5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S974" s="1"/>
      <c r="T974" s="1"/>
      <c r="U974" s="1"/>
      <c r="V974" s="1"/>
      <c r="W974" s="1"/>
      <c r="X974" s="1"/>
      <c r="AB974" s="1"/>
      <c r="AC974" s="1"/>
      <c r="AD974" s="1"/>
      <c r="AE974" s="1"/>
      <c r="AF974" s="1"/>
      <c r="AG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</row>
    <row r="975" spans="1:5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S975" s="1"/>
      <c r="T975" s="1"/>
      <c r="U975" s="1"/>
      <c r="V975" s="1"/>
      <c r="W975" s="1"/>
      <c r="X975" s="1"/>
      <c r="AB975" s="1"/>
      <c r="AC975" s="1"/>
      <c r="AD975" s="1"/>
      <c r="AE975" s="1"/>
      <c r="AF975" s="1"/>
      <c r="AG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</row>
    <row r="976" spans="1:5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S976" s="1"/>
      <c r="T976" s="1"/>
      <c r="U976" s="1"/>
      <c r="V976" s="1"/>
      <c r="W976" s="1"/>
      <c r="X976" s="1"/>
      <c r="AB976" s="1"/>
      <c r="AC976" s="1"/>
      <c r="AD976" s="1"/>
      <c r="AE976" s="1"/>
      <c r="AF976" s="1"/>
      <c r="AG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</row>
    <row r="977" spans="1:5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S977" s="1"/>
      <c r="T977" s="1"/>
      <c r="U977" s="1"/>
      <c r="V977" s="1"/>
      <c r="W977" s="1"/>
      <c r="X977" s="1"/>
      <c r="AB977" s="1"/>
      <c r="AC977" s="1"/>
      <c r="AD977" s="1"/>
      <c r="AE977" s="1"/>
      <c r="AF977" s="1"/>
      <c r="AG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</row>
    <row r="978" spans="1:5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S978" s="1"/>
      <c r="T978" s="1"/>
      <c r="U978" s="1"/>
      <c r="V978" s="1"/>
      <c r="W978" s="1"/>
      <c r="X978" s="1"/>
      <c r="AB978" s="1"/>
      <c r="AC978" s="1"/>
      <c r="AD978" s="1"/>
      <c r="AE978" s="1"/>
      <c r="AF978" s="1"/>
      <c r="AG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</row>
    <row r="979" spans="1:5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S979" s="1"/>
      <c r="T979" s="1"/>
      <c r="U979" s="1"/>
      <c r="V979" s="1"/>
      <c r="W979" s="1"/>
      <c r="X979" s="1"/>
      <c r="AB979" s="1"/>
      <c r="AC979" s="1"/>
      <c r="AD979" s="1"/>
      <c r="AE979" s="1"/>
      <c r="AF979" s="1"/>
      <c r="AG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</row>
    <row r="980" spans="1:5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S980" s="1"/>
      <c r="T980" s="1"/>
      <c r="U980" s="1"/>
      <c r="V980" s="1"/>
      <c r="W980" s="1"/>
      <c r="X980" s="1"/>
      <c r="AB980" s="1"/>
      <c r="AC980" s="1"/>
      <c r="AD980" s="1"/>
      <c r="AE980" s="1"/>
      <c r="AF980" s="1"/>
      <c r="AG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</row>
    <row r="981" spans="1:5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S981" s="1"/>
      <c r="T981" s="1"/>
      <c r="U981" s="1"/>
      <c r="V981" s="1"/>
      <c r="W981" s="1"/>
      <c r="X981" s="1"/>
      <c r="AB981" s="1"/>
      <c r="AC981" s="1"/>
      <c r="AD981" s="1"/>
      <c r="AE981" s="1"/>
      <c r="AF981" s="1"/>
      <c r="AG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</row>
    <row r="982" spans="1:5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S982" s="1"/>
      <c r="T982" s="1"/>
      <c r="U982" s="1"/>
      <c r="V982" s="1"/>
      <c r="W982" s="1"/>
      <c r="X982" s="1"/>
      <c r="AB982" s="1"/>
      <c r="AC982" s="1"/>
      <c r="AD982" s="1"/>
      <c r="AE982" s="1"/>
      <c r="AF982" s="1"/>
      <c r="AG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</row>
    <row r="983" spans="1:5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S983" s="1"/>
      <c r="T983" s="1"/>
      <c r="U983" s="1"/>
      <c r="V983" s="1"/>
      <c r="W983" s="1"/>
      <c r="X983" s="1"/>
      <c r="AB983" s="1"/>
      <c r="AC983" s="1"/>
      <c r="AD983" s="1"/>
      <c r="AE983" s="1"/>
      <c r="AF983" s="1"/>
      <c r="AG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</row>
    <row r="984" spans="1:5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S984" s="1"/>
      <c r="T984" s="1"/>
      <c r="U984" s="1"/>
      <c r="V984" s="1"/>
      <c r="W984" s="1"/>
      <c r="X984" s="1"/>
      <c r="AB984" s="1"/>
      <c r="AC984" s="1"/>
      <c r="AD984" s="1"/>
      <c r="AE984" s="1"/>
      <c r="AF984" s="1"/>
      <c r="AG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</row>
    <row r="985" spans="1:5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S985" s="1"/>
      <c r="T985" s="1"/>
      <c r="U985" s="1"/>
      <c r="V985" s="1"/>
      <c r="W985" s="1"/>
      <c r="X985" s="1"/>
      <c r="AB985" s="1"/>
      <c r="AC985" s="1"/>
      <c r="AD985" s="1"/>
      <c r="AE985" s="1"/>
      <c r="AF985" s="1"/>
      <c r="AG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</row>
    <row r="986" spans="1:5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S986" s="1"/>
      <c r="T986" s="1"/>
      <c r="U986" s="1"/>
      <c r="V986" s="1"/>
      <c r="W986" s="1"/>
      <c r="X986" s="1"/>
      <c r="AB986" s="1"/>
      <c r="AC986" s="1"/>
      <c r="AD986" s="1"/>
      <c r="AE986" s="1"/>
      <c r="AF986" s="1"/>
      <c r="AG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</row>
    <row r="987" spans="1:5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S987" s="1"/>
      <c r="T987" s="1"/>
      <c r="U987" s="1"/>
      <c r="V987" s="1"/>
      <c r="W987" s="1"/>
      <c r="X987" s="1"/>
      <c r="AB987" s="1"/>
      <c r="AC987" s="1"/>
      <c r="AD987" s="1"/>
      <c r="AE987" s="1"/>
      <c r="AF987" s="1"/>
      <c r="AG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</row>
    <row r="988" spans="1:5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S988" s="1"/>
      <c r="T988" s="1"/>
      <c r="U988" s="1"/>
      <c r="V988" s="1"/>
      <c r="W988" s="1"/>
      <c r="X988" s="1"/>
      <c r="AB988" s="1"/>
      <c r="AC988" s="1"/>
      <c r="AD988" s="1"/>
      <c r="AE988" s="1"/>
      <c r="AF988" s="1"/>
      <c r="AG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</row>
    <row r="989" spans="1:5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S989" s="1"/>
      <c r="T989" s="1"/>
      <c r="U989" s="1"/>
      <c r="V989" s="1"/>
      <c r="W989" s="1"/>
      <c r="X989" s="1"/>
      <c r="AB989" s="1"/>
      <c r="AC989" s="1"/>
      <c r="AD989" s="1"/>
      <c r="AE989" s="1"/>
      <c r="AF989" s="1"/>
      <c r="AG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</row>
    <row r="990" spans="1:5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S990" s="1"/>
      <c r="T990" s="1"/>
      <c r="U990" s="1"/>
      <c r="V990" s="1"/>
      <c r="W990" s="1"/>
      <c r="X990" s="1"/>
      <c r="AB990" s="1"/>
      <c r="AC990" s="1"/>
      <c r="AD990" s="1"/>
      <c r="AE990" s="1"/>
      <c r="AF990" s="1"/>
      <c r="AG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</row>
    <row r="991" spans="1:5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S991" s="1"/>
      <c r="T991" s="1"/>
      <c r="U991" s="1"/>
      <c r="V991" s="1"/>
      <c r="W991" s="1"/>
      <c r="X991" s="1"/>
      <c r="AB991" s="1"/>
      <c r="AC991" s="1"/>
      <c r="AD991" s="1"/>
      <c r="AE991" s="1"/>
      <c r="AF991" s="1"/>
      <c r="AG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</row>
    <row r="992" spans="1:5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S992" s="1"/>
      <c r="T992" s="1"/>
      <c r="U992" s="1"/>
      <c r="V992" s="1"/>
      <c r="W992" s="1"/>
      <c r="X992" s="1"/>
      <c r="AB992" s="1"/>
      <c r="AC992" s="1"/>
      <c r="AD992" s="1"/>
      <c r="AE992" s="1"/>
      <c r="AF992" s="1"/>
      <c r="AG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</row>
    <row r="993" spans="1:5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S993" s="1"/>
      <c r="T993" s="1"/>
      <c r="U993" s="1"/>
      <c r="V993" s="1"/>
      <c r="W993" s="1"/>
      <c r="X993" s="1"/>
      <c r="AB993" s="1"/>
      <c r="AC993" s="1"/>
      <c r="AD993" s="1"/>
      <c r="AE993" s="1"/>
      <c r="AF993" s="1"/>
      <c r="AG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</row>
    <row r="994" spans="1:5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S994" s="1"/>
      <c r="T994" s="1"/>
      <c r="U994" s="1"/>
      <c r="V994" s="1"/>
      <c r="W994" s="1"/>
      <c r="X994" s="1"/>
      <c r="AB994" s="1"/>
      <c r="AC994" s="1"/>
      <c r="AD994" s="1"/>
      <c r="AE994" s="1"/>
      <c r="AF994" s="1"/>
      <c r="AG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</row>
    <row r="995" spans="1:5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S995" s="1"/>
      <c r="T995" s="1"/>
      <c r="U995" s="1"/>
      <c r="V995" s="1"/>
      <c r="W995" s="1"/>
      <c r="X995" s="1"/>
      <c r="AB995" s="1"/>
      <c r="AC995" s="1"/>
      <c r="AD995" s="1"/>
      <c r="AE995" s="1"/>
      <c r="AF995" s="1"/>
      <c r="AG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</row>
    <row r="996" spans="1:5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S996" s="1"/>
      <c r="T996" s="1"/>
      <c r="U996" s="1"/>
      <c r="V996" s="1"/>
      <c r="W996" s="1"/>
      <c r="X996" s="1"/>
      <c r="AB996" s="1"/>
      <c r="AC996" s="1"/>
      <c r="AD996" s="1"/>
      <c r="AE996" s="1"/>
      <c r="AF996" s="1"/>
      <c r="AG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</row>
    <row r="997" spans="1:5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S997" s="1"/>
      <c r="T997" s="1"/>
      <c r="U997" s="1"/>
      <c r="V997" s="1"/>
      <c r="W997" s="1"/>
      <c r="X997" s="1"/>
      <c r="AB997" s="1"/>
      <c r="AC997" s="1"/>
      <c r="AD997" s="1"/>
      <c r="AE997" s="1"/>
      <c r="AF997" s="1"/>
      <c r="AG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</row>
    <row r="998" spans="1:5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S998" s="1"/>
      <c r="T998" s="1"/>
      <c r="U998" s="1"/>
      <c r="V998" s="1"/>
      <c r="W998" s="1"/>
      <c r="X998" s="1"/>
      <c r="AB998" s="1"/>
      <c r="AC998" s="1"/>
      <c r="AD998" s="1"/>
      <c r="AE998" s="1"/>
      <c r="AF998" s="1"/>
      <c r="AG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</row>
    <row r="999" spans="1:5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S999" s="1"/>
      <c r="T999" s="1"/>
      <c r="U999" s="1"/>
      <c r="V999" s="1"/>
      <c r="W999" s="1"/>
      <c r="X999" s="1"/>
      <c r="AB999" s="1"/>
      <c r="AC999" s="1"/>
      <c r="AD999" s="1"/>
      <c r="AE999" s="1"/>
      <c r="AF999" s="1"/>
      <c r="AG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</row>
    <row r="1000" spans="1:5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S1000" s="1"/>
      <c r="T1000" s="1"/>
      <c r="U1000" s="1"/>
      <c r="V1000" s="1"/>
      <c r="W1000" s="1"/>
      <c r="X1000" s="1"/>
      <c r="AB1000" s="1"/>
      <c r="AC1000" s="1"/>
      <c r="AD1000" s="1"/>
      <c r="AE1000" s="1"/>
      <c r="AF1000" s="1"/>
      <c r="AG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</row>
  </sheetData>
  <mergeCells count="11">
    <mergeCell ref="AC2:AJ3"/>
    <mergeCell ref="AN2:AN4"/>
    <mergeCell ref="AO2:AV2"/>
    <mergeCell ref="AO3:AP3"/>
    <mergeCell ref="AR3:AS3"/>
    <mergeCell ref="AU3:AV3"/>
    <mergeCell ref="A2:A4"/>
    <mergeCell ref="B2:AA2"/>
    <mergeCell ref="B3:I3"/>
    <mergeCell ref="K3:R3"/>
    <mergeCell ref="T3:A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workbookViewId="0">
      <selection activeCell="C21" sqref="C21"/>
    </sheetView>
  </sheetViews>
  <sheetFormatPr baseColWidth="10" defaultColWidth="14.42578125" defaultRowHeight="15" x14ac:dyDescent="0.25"/>
  <cols>
    <col min="1" max="3" width="14.42578125" style="49"/>
    <col min="4" max="4" width="15.7109375" style="49" customWidth="1"/>
    <col min="5" max="5" width="4.7109375" style="49" customWidth="1"/>
    <col min="6" max="6" width="14.42578125" style="49"/>
    <col min="7" max="7" width="13.7109375" style="49" customWidth="1"/>
    <col min="8" max="8" width="4.42578125" style="49" customWidth="1"/>
    <col min="9" max="9" width="13.42578125" style="49" customWidth="1"/>
    <col min="10" max="10" width="14.7109375" style="49" customWidth="1"/>
    <col min="11" max="11" width="4.85546875" style="49" customWidth="1"/>
    <col min="12" max="12" width="14" style="49" customWidth="1"/>
    <col min="13" max="13" width="14.5703125" style="49" customWidth="1"/>
    <col min="14" max="14" width="4.85546875" style="49" customWidth="1"/>
    <col min="15" max="15" width="15.140625" style="49" customWidth="1"/>
    <col min="16" max="16" width="14.140625" style="49" customWidth="1"/>
    <col min="17" max="17" width="4.5703125" style="49" customWidth="1"/>
    <col min="18" max="18" width="14.140625" style="49" customWidth="1"/>
    <col min="19" max="16384" width="14.42578125" style="49"/>
  </cols>
  <sheetData>
    <row r="1" spans="1:31" x14ac:dyDescent="0.2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</row>
    <row r="2" spans="1:31" x14ac:dyDescent="0.25">
      <c r="A2" s="48"/>
      <c r="B2" s="85"/>
      <c r="C2" s="83" t="s">
        <v>14</v>
      </c>
      <c r="D2" s="84"/>
      <c r="E2" s="50"/>
      <c r="F2" s="83" t="s">
        <v>25</v>
      </c>
      <c r="G2" s="84"/>
      <c r="H2" s="50"/>
      <c r="I2" s="83" t="s">
        <v>35</v>
      </c>
      <c r="J2" s="84"/>
      <c r="K2" s="50"/>
      <c r="L2" s="83" t="s">
        <v>42</v>
      </c>
      <c r="M2" s="84"/>
      <c r="N2" s="50"/>
      <c r="O2" s="83" t="s">
        <v>48</v>
      </c>
      <c r="P2" s="84"/>
      <c r="Q2" s="50"/>
      <c r="R2" s="83" t="s">
        <v>54</v>
      </c>
      <c r="S2" s="84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</row>
    <row r="3" spans="1:31" x14ac:dyDescent="0.25">
      <c r="A3" s="48"/>
      <c r="B3" s="86"/>
      <c r="C3" s="51" t="s">
        <v>732</v>
      </c>
      <c r="D3" s="51" t="s">
        <v>733</v>
      </c>
      <c r="E3" s="51"/>
      <c r="F3" s="51" t="s">
        <v>732</v>
      </c>
      <c r="G3" s="51" t="s">
        <v>733</v>
      </c>
      <c r="H3" s="51"/>
      <c r="I3" s="51" t="s">
        <v>732</v>
      </c>
      <c r="J3" s="51" t="s">
        <v>733</v>
      </c>
      <c r="K3" s="51"/>
      <c r="L3" s="51" t="s">
        <v>732</v>
      </c>
      <c r="M3" s="51" t="s">
        <v>733</v>
      </c>
      <c r="N3" s="51"/>
      <c r="O3" s="51" t="s">
        <v>732</v>
      </c>
      <c r="P3" s="51" t="s">
        <v>733</v>
      </c>
      <c r="Q3" s="51"/>
      <c r="R3" s="51" t="s">
        <v>732</v>
      </c>
      <c r="S3" s="51" t="s">
        <v>733</v>
      </c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</row>
    <row r="4" spans="1:31" x14ac:dyDescent="0.25">
      <c r="A4" s="48"/>
      <c r="B4" s="52" t="s">
        <v>12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</row>
    <row r="5" spans="1:31" ht="30" x14ac:dyDescent="0.25">
      <c r="A5" s="48"/>
      <c r="B5" s="53">
        <v>24</v>
      </c>
      <c r="C5" s="52" t="s">
        <v>734</v>
      </c>
      <c r="D5" s="52" t="s">
        <v>735</v>
      </c>
      <c r="E5" s="52"/>
      <c r="F5" s="52" t="s">
        <v>63</v>
      </c>
      <c r="G5" s="52" t="s">
        <v>63</v>
      </c>
      <c r="H5" s="52"/>
      <c r="I5" s="52" t="s">
        <v>228</v>
      </c>
      <c r="J5" s="52" t="s">
        <v>63</v>
      </c>
      <c r="K5" s="52"/>
      <c r="L5" s="52" t="s">
        <v>761</v>
      </c>
      <c r="M5" s="52" t="s">
        <v>163</v>
      </c>
      <c r="N5" s="52"/>
      <c r="O5" s="52" t="s">
        <v>736</v>
      </c>
      <c r="P5" s="52" t="s">
        <v>260</v>
      </c>
      <c r="Q5" s="52"/>
      <c r="R5" s="52" t="s">
        <v>63</v>
      </c>
      <c r="S5" s="52" t="s">
        <v>63</v>
      </c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</row>
    <row r="6" spans="1:31" ht="30" x14ac:dyDescent="0.25">
      <c r="A6" s="48"/>
      <c r="B6" s="53">
        <v>48</v>
      </c>
      <c r="C6" s="52" t="s">
        <v>63</v>
      </c>
      <c r="D6" s="52" t="s">
        <v>63</v>
      </c>
      <c r="E6" s="52"/>
      <c r="F6" s="52" t="s">
        <v>63</v>
      </c>
      <c r="G6" s="52" t="s">
        <v>63</v>
      </c>
      <c r="H6" s="52"/>
      <c r="I6" s="52" t="s">
        <v>228</v>
      </c>
      <c r="J6" s="52" t="s">
        <v>63</v>
      </c>
      <c r="K6" s="52"/>
      <c r="L6" s="52" t="s">
        <v>63</v>
      </c>
      <c r="M6" s="52" t="s">
        <v>737</v>
      </c>
      <c r="N6" s="52"/>
      <c r="O6" s="52" t="s">
        <v>63</v>
      </c>
      <c r="P6" s="52" t="s">
        <v>63</v>
      </c>
      <c r="Q6" s="52"/>
      <c r="R6" s="52" t="s">
        <v>195</v>
      </c>
      <c r="S6" s="52" t="s">
        <v>63</v>
      </c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</row>
    <row r="7" spans="1:31" ht="30" x14ac:dyDescent="0.25">
      <c r="A7" s="48"/>
      <c r="B7" s="53">
        <v>72</v>
      </c>
      <c r="C7" s="52" t="s">
        <v>63</v>
      </c>
      <c r="D7" s="52" t="s">
        <v>738</v>
      </c>
      <c r="E7" s="52"/>
      <c r="F7" s="52" t="s">
        <v>739</v>
      </c>
      <c r="G7" s="52" t="s">
        <v>195</v>
      </c>
      <c r="H7" s="52"/>
      <c r="I7" s="52" t="s">
        <v>735</v>
      </c>
      <c r="J7" s="52" t="s">
        <v>734</v>
      </c>
      <c r="K7" s="52"/>
      <c r="L7" s="52" t="s">
        <v>762</v>
      </c>
      <c r="M7" s="52" t="s">
        <v>195</v>
      </c>
      <c r="N7" s="52"/>
      <c r="O7" s="52" t="s">
        <v>63</v>
      </c>
      <c r="P7" s="52" t="s">
        <v>759</v>
      </c>
      <c r="Q7" s="52"/>
      <c r="R7" s="52" t="s">
        <v>739</v>
      </c>
      <c r="S7" s="52" t="s">
        <v>761</v>
      </c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</row>
    <row r="8" spans="1:31" x14ac:dyDescent="0.25">
      <c r="A8" s="48"/>
      <c r="B8" s="52" t="s">
        <v>68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</row>
    <row r="9" spans="1:31" x14ac:dyDescent="0.25">
      <c r="A9" s="48"/>
      <c r="B9" s="53">
        <v>24</v>
      </c>
      <c r="C9" s="52" t="s">
        <v>63</v>
      </c>
      <c r="D9" s="52" t="s">
        <v>763</v>
      </c>
      <c r="E9" s="52"/>
      <c r="F9" s="52" t="s">
        <v>63</v>
      </c>
      <c r="G9" s="52" t="s">
        <v>63</v>
      </c>
      <c r="H9" s="52"/>
      <c r="I9" s="52" t="s">
        <v>63</v>
      </c>
      <c r="J9" s="52" t="s">
        <v>63</v>
      </c>
      <c r="K9" s="52"/>
      <c r="L9" s="52" t="s">
        <v>63</v>
      </c>
      <c r="M9" s="52" t="s">
        <v>63</v>
      </c>
      <c r="N9" s="52"/>
      <c r="O9" s="52" t="s">
        <v>63</v>
      </c>
      <c r="P9" s="52" t="s">
        <v>63</v>
      </c>
      <c r="Q9" s="52"/>
      <c r="R9" s="52" t="s">
        <v>63</v>
      </c>
      <c r="S9" s="52" t="s">
        <v>63</v>
      </c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</row>
    <row r="10" spans="1:31" ht="45" x14ac:dyDescent="0.25">
      <c r="A10" s="48"/>
      <c r="B10" s="53">
        <v>48</v>
      </c>
      <c r="C10" s="52" t="s">
        <v>63</v>
      </c>
      <c r="D10" s="52" t="s">
        <v>63</v>
      </c>
      <c r="E10" s="52"/>
      <c r="F10" s="52" t="s">
        <v>63</v>
      </c>
      <c r="G10" s="52" t="s">
        <v>63</v>
      </c>
      <c r="H10" s="52"/>
      <c r="I10" s="52" t="s">
        <v>735</v>
      </c>
      <c r="J10" s="52" t="s">
        <v>764</v>
      </c>
      <c r="K10" s="52"/>
      <c r="L10" s="52" t="s">
        <v>292</v>
      </c>
      <c r="M10" s="52" t="s">
        <v>63</v>
      </c>
      <c r="N10" s="52"/>
      <c r="O10" s="52" t="s">
        <v>63</v>
      </c>
      <c r="P10" s="52" t="s">
        <v>63</v>
      </c>
      <c r="Q10" s="52"/>
      <c r="R10" s="52" t="s">
        <v>63</v>
      </c>
      <c r="S10" s="52" t="s">
        <v>63</v>
      </c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</row>
    <row r="11" spans="1:31" x14ac:dyDescent="0.25">
      <c r="A11" s="48"/>
      <c r="B11" s="53">
        <v>72</v>
      </c>
      <c r="C11" s="52" t="s">
        <v>760</v>
      </c>
      <c r="D11" s="52" t="s">
        <v>163</v>
      </c>
      <c r="E11" s="52"/>
      <c r="F11" s="52" t="s">
        <v>63</v>
      </c>
      <c r="G11" s="52" t="s">
        <v>63</v>
      </c>
      <c r="H11" s="52"/>
      <c r="I11" s="52" t="s">
        <v>63</v>
      </c>
      <c r="J11" s="52" t="s">
        <v>735</v>
      </c>
      <c r="K11" s="52"/>
      <c r="L11" s="52" t="s">
        <v>63</v>
      </c>
      <c r="M11" s="52" t="s">
        <v>63</v>
      </c>
      <c r="N11" s="52"/>
      <c r="O11" s="52" t="s">
        <v>63</v>
      </c>
      <c r="P11" s="52" t="s">
        <v>759</v>
      </c>
      <c r="Q11" s="52"/>
      <c r="R11" s="52" t="s">
        <v>740</v>
      </c>
      <c r="S11" s="52" t="s">
        <v>63</v>
      </c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</row>
    <row r="12" spans="1:31" x14ac:dyDescent="0.25">
      <c r="A12" s="48"/>
      <c r="B12" s="52" t="s">
        <v>759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</row>
    <row r="13" spans="1:31" ht="30" x14ac:dyDescent="0.25">
      <c r="A13" s="48"/>
      <c r="B13" s="53">
        <v>24</v>
      </c>
      <c r="C13" s="52" t="s">
        <v>63</v>
      </c>
      <c r="D13" s="52" t="s">
        <v>741</v>
      </c>
      <c r="E13" s="52"/>
      <c r="F13" s="52" t="s">
        <v>63</v>
      </c>
      <c r="G13" s="52" t="s">
        <v>63</v>
      </c>
      <c r="H13" s="52"/>
      <c r="I13" s="52" t="s">
        <v>195</v>
      </c>
      <c r="J13" s="52" t="s">
        <v>63</v>
      </c>
      <c r="K13" s="52"/>
      <c r="L13" s="52" t="s">
        <v>195</v>
      </c>
      <c r="M13" s="52" t="s">
        <v>163</v>
      </c>
      <c r="N13" s="52"/>
      <c r="O13" s="52" t="s">
        <v>292</v>
      </c>
      <c r="P13" s="52" t="s">
        <v>742</v>
      </c>
      <c r="Q13" s="52"/>
      <c r="R13" s="52" t="s">
        <v>195</v>
      </c>
      <c r="S13" s="52" t="s">
        <v>163</v>
      </c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</row>
    <row r="14" spans="1:31" ht="45" x14ac:dyDescent="0.25">
      <c r="A14" s="48"/>
      <c r="B14" s="53">
        <v>48</v>
      </c>
      <c r="C14" s="54" t="s">
        <v>195</v>
      </c>
      <c r="D14" s="52" t="s">
        <v>228</v>
      </c>
      <c r="E14" s="52"/>
      <c r="F14" s="52" t="s">
        <v>63</v>
      </c>
      <c r="G14" s="52" t="s">
        <v>63</v>
      </c>
      <c r="H14" s="52"/>
      <c r="I14" s="52" t="s">
        <v>765</v>
      </c>
      <c r="J14" s="52" t="s">
        <v>735</v>
      </c>
      <c r="K14" s="52"/>
      <c r="L14" s="52" t="s">
        <v>228</v>
      </c>
      <c r="M14" s="52" t="s">
        <v>766</v>
      </c>
      <c r="N14" s="52"/>
      <c r="O14" s="52" t="s">
        <v>63</v>
      </c>
      <c r="P14" s="52" t="s">
        <v>260</v>
      </c>
      <c r="Q14" s="52"/>
      <c r="R14" s="52" t="s">
        <v>63</v>
      </c>
      <c r="S14" s="52" t="s">
        <v>63</v>
      </c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</row>
    <row r="15" spans="1:31" ht="30" x14ac:dyDescent="0.25">
      <c r="A15" s="48"/>
      <c r="B15" s="53">
        <v>72</v>
      </c>
      <c r="C15" s="52" t="s">
        <v>292</v>
      </c>
      <c r="D15" s="52" t="s">
        <v>63</v>
      </c>
      <c r="E15" s="52"/>
      <c r="F15" s="52" t="s">
        <v>63</v>
      </c>
      <c r="G15" s="52" t="s">
        <v>63</v>
      </c>
      <c r="H15" s="52"/>
      <c r="I15" s="52" t="s">
        <v>63</v>
      </c>
      <c r="J15" s="52" t="s">
        <v>63</v>
      </c>
      <c r="K15" s="52"/>
      <c r="L15" s="52" t="s">
        <v>163</v>
      </c>
      <c r="M15" s="52" t="s">
        <v>195</v>
      </c>
      <c r="N15" s="52"/>
      <c r="O15" s="52" t="s">
        <v>63</v>
      </c>
      <c r="P15" s="52" t="s">
        <v>63</v>
      </c>
      <c r="Q15" s="52"/>
      <c r="R15" s="52" t="s">
        <v>195</v>
      </c>
      <c r="S15" s="52" t="s">
        <v>739</v>
      </c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</row>
    <row r="16" spans="1:31" x14ac:dyDescent="0.25">
      <c r="A16" s="48"/>
      <c r="B16" s="52" t="s">
        <v>760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</row>
    <row r="17" spans="1:31" x14ac:dyDescent="0.25">
      <c r="A17" s="48"/>
      <c r="B17" s="53">
        <v>24</v>
      </c>
      <c r="C17" s="52" t="s">
        <v>63</v>
      </c>
      <c r="D17" s="52" t="s">
        <v>63</v>
      </c>
      <c r="E17" s="52"/>
      <c r="F17" s="52" t="s">
        <v>63</v>
      </c>
      <c r="G17" s="52" t="s">
        <v>63</v>
      </c>
      <c r="H17" s="52"/>
      <c r="I17" s="52" t="s">
        <v>63</v>
      </c>
      <c r="J17" s="52" t="s">
        <v>63</v>
      </c>
      <c r="K17" s="52"/>
      <c r="L17" s="52" t="s">
        <v>63</v>
      </c>
      <c r="M17" s="52" t="s">
        <v>63</v>
      </c>
      <c r="N17" s="52"/>
      <c r="O17" s="52" t="s">
        <v>63</v>
      </c>
      <c r="P17" s="52" t="s">
        <v>63</v>
      </c>
      <c r="Q17" s="52"/>
      <c r="R17" s="52" t="s">
        <v>63</v>
      </c>
      <c r="S17" s="52" t="s">
        <v>63</v>
      </c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</row>
    <row r="18" spans="1:31" ht="30" x14ac:dyDescent="0.25">
      <c r="A18" s="48"/>
      <c r="B18" s="53">
        <v>48</v>
      </c>
      <c r="C18" s="52" t="s">
        <v>63</v>
      </c>
      <c r="D18" s="52" t="s">
        <v>63</v>
      </c>
      <c r="E18" s="52"/>
      <c r="F18" s="52" t="s">
        <v>63</v>
      </c>
      <c r="G18" s="52" t="s">
        <v>63</v>
      </c>
      <c r="H18" s="52"/>
      <c r="I18" s="55" t="s">
        <v>739</v>
      </c>
      <c r="J18" s="52" t="s">
        <v>735</v>
      </c>
      <c r="K18" s="52"/>
      <c r="L18" s="52" t="s">
        <v>735</v>
      </c>
      <c r="M18" s="52" t="s">
        <v>228</v>
      </c>
      <c r="N18" s="52"/>
      <c r="O18" s="52" t="s">
        <v>63</v>
      </c>
      <c r="P18" s="52" t="s">
        <v>63</v>
      </c>
      <c r="Q18" s="52"/>
      <c r="R18" s="52" t="s">
        <v>63</v>
      </c>
      <c r="S18" s="52" t="s">
        <v>63</v>
      </c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</row>
    <row r="19" spans="1:31" ht="30" x14ac:dyDescent="0.25">
      <c r="A19" s="48"/>
      <c r="B19" s="53">
        <v>72</v>
      </c>
      <c r="C19" s="52" t="s">
        <v>63</v>
      </c>
      <c r="D19" s="52" t="s">
        <v>163</v>
      </c>
      <c r="E19" s="52"/>
      <c r="F19" s="52" t="s">
        <v>63</v>
      </c>
      <c r="G19" s="52" t="s">
        <v>63</v>
      </c>
      <c r="H19" s="52"/>
      <c r="I19" s="52" t="s">
        <v>743</v>
      </c>
      <c r="J19" s="52" t="s">
        <v>63</v>
      </c>
      <c r="K19" s="52"/>
      <c r="L19" s="52" t="s">
        <v>63</v>
      </c>
      <c r="M19" s="52" t="s">
        <v>63</v>
      </c>
      <c r="N19" s="52"/>
      <c r="O19" s="52" t="s">
        <v>743</v>
      </c>
      <c r="P19" s="52" t="s">
        <v>195</v>
      </c>
      <c r="Q19" s="52"/>
      <c r="R19" s="52" t="s">
        <v>63</v>
      </c>
      <c r="S19" s="52" t="s">
        <v>63</v>
      </c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</row>
    <row r="20" spans="1:31" x14ac:dyDescent="0.25">
      <c r="A20" s="48"/>
      <c r="B20" s="52" t="s">
        <v>163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</row>
    <row r="21" spans="1:31" ht="30" x14ac:dyDescent="0.25">
      <c r="A21" s="48"/>
      <c r="B21" s="53">
        <v>24</v>
      </c>
      <c r="C21" s="52" t="s">
        <v>228</v>
      </c>
      <c r="D21" s="52" t="s">
        <v>359</v>
      </c>
      <c r="E21" s="52"/>
      <c r="F21" s="52" t="s">
        <v>63</v>
      </c>
      <c r="G21" s="52" t="s">
        <v>63</v>
      </c>
      <c r="H21" s="52"/>
      <c r="I21" s="52" t="s">
        <v>260</v>
      </c>
      <c r="J21" s="52"/>
      <c r="K21" s="52"/>
      <c r="L21" s="52" t="s">
        <v>63</v>
      </c>
      <c r="M21" s="52" t="s">
        <v>63</v>
      </c>
      <c r="N21" s="52"/>
      <c r="O21" s="52" t="s">
        <v>228</v>
      </c>
      <c r="P21" s="52" t="s">
        <v>292</v>
      </c>
      <c r="Q21" s="52"/>
      <c r="R21" s="52" t="s">
        <v>63</v>
      </c>
      <c r="S21" s="52" t="s">
        <v>195</v>
      </c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</row>
    <row r="22" spans="1:31" x14ac:dyDescent="0.25">
      <c r="A22" s="48"/>
      <c r="B22" s="53">
        <v>48</v>
      </c>
      <c r="C22" s="52" t="s">
        <v>292</v>
      </c>
      <c r="D22" s="52" t="s">
        <v>63</v>
      </c>
      <c r="E22" s="52"/>
      <c r="F22" s="52" t="s">
        <v>744</v>
      </c>
      <c r="G22" s="52" t="s">
        <v>63</v>
      </c>
      <c r="H22" s="52"/>
      <c r="I22" s="52" t="s">
        <v>292</v>
      </c>
      <c r="J22" s="52" t="s">
        <v>735</v>
      </c>
      <c r="K22" s="52"/>
      <c r="L22" s="52" t="s">
        <v>63</v>
      </c>
      <c r="M22" s="52" t="s">
        <v>63</v>
      </c>
      <c r="N22" s="52"/>
      <c r="O22" s="52" t="s">
        <v>63</v>
      </c>
      <c r="P22" s="52" t="s">
        <v>195</v>
      </c>
      <c r="Q22" s="52"/>
      <c r="R22" s="52" t="s">
        <v>63</v>
      </c>
      <c r="S22" s="52" t="s">
        <v>63</v>
      </c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</row>
    <row r="23" spans="1:31" ht="30" x14ac:dyDescent="0.25">
      <c r="A23" s="48"/>
      <c r="B23" s="53">
        <v>72</v>
      </c>
      <c r="C23" s="52" t="s">
        <v>63</v>
      </c>
      <c r="D23" s="52" t="s">
        <v>63</v>
      </c>
      <c r="E23" s="52"/>
      <c r="F23" s="52" t="s">
        <v>292</v>
      </c>
      <c r="G23" s="52" t="s">
        <v>195</v>
      </c>
      <c r="H23" s="52"/>
      <c r="I23" s="52" t="s">
        <v>745</v>
      </c>
      <c r="J23" s="52"/>
      <c r="K23" s="52"/>
      <c r="L23" s="52" t="s">
        <v>63</v>
      </c>
      <c r="M23" s="52" t="s">
        <v>195</v>
      </c>
      <c r="N23" s="52"/>
      <c r="O23" s="52" t="s">
        <v>745</v>
      </c>
      <c r="P23" s="52" t="s">
        <v>195</v>
      </c>
      <c r="Q23" s="52"/>
      <c r="R23" s="52" t="s">
        <v>292</v>
      </c>
      <c r="S23" s="52" t="s">
        <v>195</v>
      </c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</row>
    <row r="24" spans="1:31" x14ac:dyDescent="0.25">
      <c r="A24" s="48"/>
      <c r="B24" s="52" t="s">
        <v>195</v>
      </c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</row>
    <row r="25" spans="1:31" ht="30" x14ac:dyDescent="0.25">
      <c r="A25" s="48"/>
      <c r="B25" s="53">
        <v>24</v>
      </c>
      <c r="C25" s="52" t="s">
        <v>260</v>
      </c>
      <c r="D25" s="52" t="s">
        <v>63</v>
      </c>
      <c r="E25" s="52"/>
      <c r="F25" s="52" t="s">
        <v>228</v>
      </c>
      <c r="G25" s="52" t="s">
        <v>746</v>
      </c>
      <c r="H25" s="52"/>
      <c r="I25" s="52" t="s">
        <v>63</v>
      </c>
      <c r="J25" s="52" t="s">
        <v>63</v>
      </c>
      <c r="K25" s="52"/>
      <c r="L25" s="52" t="s">
        <v>63</v>
      </c>
      <c r="M25" s="52" t="s">
        <v>63</v>
      </c>
      <c r="N25" s="52"/>
      <c r="O25" s="52" t="s">
        <v>63</v>
      </c>
      <c r="P25" s="52" t="s">
        <v>63</v>
      </c>
      <c r="Q25" s="52"/>
      <c r="R25" s="52" t="s">
        <v>63</v>
      </c>
      <c r="S25" s="52" t="s">
        <v>63</v>
      </c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</row>
    <row r="26" spans="1:31" x14ac:dyDescent="0.25">
      <c r="A26" s="48"/>
      <c r="B26" s="53">
        <v>48</v>
      </c>
      <c r="C26" s="52" t="s">
        <v>63</v>
      </c>
      <c r="D26" s="52" t="s">
        <v>228</v>
      </c>
      <c r="E26" s="52"/>
      <c r="F26" s="52" t="s">
        <v>228</v>
      </c>
      <c r="G26" s="52" t="s">
        <v>63</v>
      </c>
      <c r="H26" s="52"/>
      <c r="I26" s="52" t="s">
        <v>260</v>
      </c>
      <c r="J26" s="52" t="s">
        <v>292</v>
      </c>
      <c r="K26" s="52"/>
      <c r="L26" s="52" t="s">
        <v>260</v>
      </c>
      <c r="M26" s="52" t="s">
        <v>228</v>
      </c>
      <c r="N26" s="52"/>
      <c r="O26" s="52" t="s">
        <v>63</v>
      </c>
      <c r="P26" s="52" t="s">
        <v>63</v>
      </c>
      <c r="Q26" s="52"/>
      <c r="R26" s="52" t="s">
        <v>63</v>
      </c>
      <c r="S26" s="52" t="s">
        <v>63</v>
      </c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</row>
    <row r="27" spans="1:31" x14ac:dyDescent="0.25">
      <c r="A27" s="48"/>
      <c r="B27" s="53">
        <v>72</v>
      </c>
      <c r="C27" s="52" t="s">
        <v>740</v>
      </c>
      <c r="D27" s="52" t="s">
        <v>63</v>
      </c>
      <c r="E27" s="52"/>
      <c r="F27" s="52" t="s">
        <v>63</v>
      </c>
      <c r="G27" s="52" t="s">
        <v>292</v>
      </c>
      <c r="H27" s="52"/>
      <c r="I27" s="52" t="s">
        <v>260</v>
      </c>
      <c r="J27" s="52" t="s">
        <v>63</v>
      </c>
      <c r="K27" s="52"/>
      <c r="L27" s="52" t="s">
        <v>63</v>
      </c>
      <c r="M27" s="52" t="s">
        <v>63</v>
      </c>
      <c r="N27" s="52"/>
      <c r="O27" s="52" t="s">
        <v>63</v>
      </c>
      <c r="P27" s="52" t="s">
        <v>745</v>
      </c>
      <c r="Q27" s="52"/>
      <c r="R27" s="52" t="s">
        <v>63</v>
      </c>
      <c r="S27" s="52" t="s">
        <v>292</v>
      </c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</row>
    <row r="28" spans="1:31" x14ac:dyDescent="0.25">
      <c r="A28" s="48"/>
      <c r="B28" s="52" t="s">
        <v>228</v>
      </c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</row>
    <row r="29" spans="1:31" ht="30" x14ac:dyDescent="0.25">
      <c r="A29" s="48"/>
      <c r="B29" s="53">
        <v>24</v>
      </c>
      <c r="C29" s="52" t="s">
        <v>63</v>
      </c>
      <c r="D29" s="52" t="s">
        <v>359</v>
      </c>
      <c r="E29" s="52"/>
      <c r="F29" s="52" t="s">
        <v>63</v>
      </c>
      <c r="G29" s="52" t="s">
        <v>746</v>
      </c>
      <c r="H29" s="52"/>
      <c r="I29" s="52" t="s">
        <v>63</v>
      </c>
      <c r="J29" s="52" t="s">
        <v>63</v>
      </c>
      <c r="K29" s="52"/>
      <c r="L29" s="52" t="s">
        <v>63</v>
      </c>
      <c r="M29" s="52" t="s">
        <v>63</v>
      </c>
      <c r="N29" s="52"/>
      <c r="O29" s="52" t="s">
        <v>63</v>
      </c>
      <c r="P29" s="52" t="s">
        <v>292</v>
      </c>
      <c r="Q29" s="52"/>
      <c r="R29" s="52" t="s">
        <v>63</v>
      </c>
      <c r="S29" s="52" t="s">
        <v>260</v>
      </c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</row>
    <row r="30" spans="1:31" x14ac:dyDescent="0.25">
      <c r="A30" s="48"/>
      <c r="B30" s="53">
        <v>48</v>
      </c>
      <c r="C30" s="52" t="s">
        <v>63</v>
      </c>
      <c r="D30" s="52" t="s">
        <v>63</v>
      </c>
      <c r="E30" s="52"/>
      <c r="F30" s="52" t="s">
        <v>63</v>
      </c>
      <c r="G30" s="52" t="s">
        <v>63</v>
      </c>
      <c r="H30" s="52"/>
      <c r="I30" s="52" t="s">
        <v>63</v>
      </c>
      <c r="J30" s="52" t="s">
        <v>63</v>
      </c>
      <c r="K30" s="52"/>
      <c r="L30" s="52" t="s">
        <v>63</v>
      </c>
      <c r="M30" s="52" t="s">
        <v>260</v>
      </c>
      <c r="N30" s="52"/>
      <c r="O30" s="52" t="s">
        <v>292</v>
      </c>
      <c r="P30" s="52" t="s">
        <v>63</v>
      </c>
      <c r="Q30" s="52"/>
      <c r="R30" s="52" t="s">
        <v>63</v>
      </c>
      <c r="S30" s="52" t="s">
        <v>260</v>
      </c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</row>
    <row r="31" spans="1:31" x14ac:dyDescent="0.25">
      <c r="A31" s="48"/>
      <c r="B31" s="53">
        <v>72</v>
      </c>
      <c r="C31" s="52" t="s">
        <v>260</v>
      </c>
      <c r="D31" s="52" t="s">
        <v>63</v>
      </c>
      <c r="E31" s="52"/>
      <c r="F31" s="52" t="s">
        <v>63</v>
      </c>
      <c r="G31" s="52" t="s">
        <v>260</v>
      </c>
      <c r="H31" s="52"/>
      <c r="I31" s="52" t="s">
        <v>292</v>
      </c>
      <c r="J31" s="52" t="s">
        <v>63</v>
      </c>
      <c r="K31" s="52"/>
      <c r="L31" s="52" t="s">
        <v>292</v>
      </c>
      <c r="M31" s="52" t="s">
        <v>63</v>
      </c>
      <c r="N31" s="52"/>
      <c r="O31" s="52" t="s">
        <v>292</v>
      </c>
      <c r="P31" s="52" t="s">
        <v>63</v>
      </c>
      <c r="Q31" s="52"/>
      <c r="R31" s="52" t="s">
        <v>260</v>
      </c>
      <c r="S31" s="52" t="s">
        <v>63</v>
      </c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</row>
    <row r="32" spans="1:31" x14ac:dyDescent="0.25">
      <c r="A32" s="48"/>
      <c r="B32" s="52" t="s">
        <v>260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</row>
    <row r="33" spans="1:31" x14ac:dyDescent="0.25">
      <c r="A33" s="48"/>
      <c r="B33" s="53">
        <v>24</v>
      </c>
      <c r="C33" s="52" t="s">
        <v>63</v>
      </c>
      <c r="D33" s="52" t="s">
        <v>63</v>
      </c>
      <c r="E33" s="52"/>
      <c r="F33" s="52" t="s">
        <v>323</v>
      </c>
      <c r="G33" s="52" t="s">
        <v>63</v>
      </c>
      <c r="H33" s="52"/>
      <c r="I33" s="52" t="s">
        <v>63</v>
      </c>
      <c r="J33" s="52" t="s">
        <v>63</v>
      </c>
      <c r="K33" s="52"/>
      <c r="L33" s="52" t="s">
        <v>63</v>
      </c>
      <c r="M33" s="52" t="s">
        <v>63</v>
      </c>
      <c r="N33" s="52"/>
      <c r="O33" s="52" t="s">
        <v>63</v>
      </c>
      <c r="P33" s="52" t="s">
        <v>63</v>
      </c>
      <c r="Q33" s="52"/>
      <c r="R33" s="52" t="s">
        <v>63</v>
      </c>
      <c r="S33" s="52" t="s">
        <v>63</v>
      </c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</row>
    <row r="34" spans="1:31" x14ac:dyDescent="0.25">
      <c r="A34" s="48"/>
      <c r="B34" s="53">
        <v>48</v>
      </c>
      <c r="C34" s="52" t="s">
        <v>63</v>
      </c>
      <c r="D34" s="52" t="s">
        <v>63</v>
      </c>
      <c r="E34" s="52"/>
      <c r="F34" s="52" t="s">
        <v>63</v>
      </c>
      <c r="G34" s="52" t="s">
        <v>63</v>
      </c>
      <c r="H34" s="52"/>
      <c r="I34" s="52" t="s">
        <v>63</v>
      </c>
      <c r="J34" s="52" t="s">
        <v>292</v>
      </c>
      <c r="K34" s="52"/>
      <c r="L34" s="52" t="s">
        <v>63</v>
      </c>
      <c r="M34" s="52" t="s">
        <v>63</v>
      </c>
      <c r="N34" s="52"/>
      <c r="O34" s="52" t="s">
        <v>63</v>
      </c>
      <c r="P34" s="52" t="s">
        <v>63</v>
      </c>
      <c r="Q34" s="52"/>
      <c r="R34" s="52" t="s">
        <v>63</v>
      </c>
      <c r="S34" s="52" t="s">
        <v>63</v>
      </c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</row>
    <row r="35" spans="1:31" x14ac:dyDescent="0.25">
      <c r="A35" s="48"/>
      <c r="B35" s="53">
        <v>72</v>
      </c>
      <c r="C35" s="52" t="s">
        <v>63</v>
      </c>
      <c r="D35" s="52" t="s">
        <v>63</v>
      </c>
      <c r="E35" s="52"/>
      <c r="F35" s="52" t="s">
        <v>63</v>
      </c>
      <c r="G35" s="52" t="s">
        <v>63</v>
      </c>
      <c r="H35" s="52"/>
      <c r="I35" s="52" t="s">
        <v>63</v>
      </c>
      <c r="J35" s="52" t="s">
        <v>63</v>
      </c>
      <c r="K35" s="52"/>
      <c r="L35" s="52" t="s">
        <v>63</v>
      </c>
      <c r="M35" s="52" t="s">
        <v>63</v>
      </c>
      <c r="N35" s="52"/>
      <c r="O35" s="52" t="s">
        <v>63</v>
      </c>
      <c r="P35" s="52" t="s">
        <v>63</v>
      </c>
      <c r="Q35" s="52"/>
      <c r="R35" s="52" t="s">
        <v>63</v>
      </c>
      <c r="S35" s="52" t="s">
        <v>63</v>
      </c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</row>
    <row r="36" spans="1:31" x14ac:dyDescent="0.25">
      <c r="A36" s="48"/>
      <c r="B36" s="52" t="s">
        <v>292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</row>
    <row r="37" spans="1:31" x14ac:dyDescent="0.25">
      <c r="A37" s="48"/>
      <c r="B37" s="53">
        <v>24</v>
      </c>
      <c r="C37" s="52" t="s">
        <v>348</v>
      </c>
      <c r="D37" s="52" t="s">
        <v>63</v>
      </c>
      <c r="E37" s="52"/>
      <c r="F37" s="52" t="s">
        <v>63</v>
      </c>
      <c r="G37" s="52" t="s">
        <v>63</v>
      </c>
      <c r="H37" s="52"/>
      <c r="I37" s="52" t="s">
        <v>63</v>
      </c>
      <c r="J37" s="52" t="s">
        <v>63</v>
      </c>
      <c r="K37" s="52"/>
      <c r="L37" s="52" t="s">
        <v>63</v>
      </c>
      <c r="M37" s="52" t="s">
        <v>63</v>
      </c>
      <c r="N37" s="52"/>
      <c r="O37" s="52" t="s">
        <v>63</v>
      </c>
      <c r="P37" s="52" t="s">
        <v>63</v>
      </c>
      <c r="Q37" s="52"/>
      <c r="R37" s="52" t="s">
        <v>63</v>
      </c>
      <c r="S37" s="52" t="s">
        <v>63</v>
      </c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</row>
    <row r="38" spans="1:31" x14ac:dyDescent="0.25">
      <c r="A38" s="48"/>
      <c r="B38" s="53">
        <v>48</v>
      </c>
      <c r="C38" s="52" t="s">
        <v>63</v>
      </c>
      <c r="D38" s="52" t="s">
        <v>63</v>
      </c>
      <c r="E38" s="52"/>
      <c r="F38" s="52" t="s">
        <v>63</v>
      </c>
      <c r="G38" s="52" t="s">
        <v>63</v>
      </c>
      <c r="H38" s="52"/>
      <c r="I38" s="52" t="s">
        <v>63</v>
      </c>
      <c r="J38" s="52" t="s">
        <v>63</v>
      </c>
      <c r="K38" s="52"/>
      <c r="L38" s="52" t="s">
        <v>63</v>
      </c>
      <c r="M38" s="52" t="s">
        <v>63</v>
      </c>
      <c r="N38" s="52"/>
      <c r="O38" s="52" t="s">
        <v>63</v>
      </c>
      <c r="P38" s="52" t="s">
        <v>63</v>
      </c>
      <c r="Q38" s="52"/>
      <c r="R38" s="52" t="s">
        <v>63</v>
      </c>
      <c r="S38" s="52" t="s">
        <v>63</v>
      </c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</row>
    <row r="39" spans="1:31" x14ac:dyDescent="0.25">
      <c r="A39" s="48"/>
      <c r="B39" s="56">
        <v>72</v>
      </c>
      <c r="C39" s="51" t="s">
        <v>63</v>
      </c>
      <c r="D39" s="51" t="s">
        <v>63</v>
      </c>
      <c r="E39" s="51"/>
      <c r="F39" s="51" t="s">
        <v>63</v>
      </c>
      <c r="G39" s="51" t="s">
        <v>63</v>
      </c>
      <c r="H39" s="51"/>
      <c r="I39" s="51" t="s">
        <v>63</v>
      </c>
      <c r="J39" s="51" t="s">
        <v>63</v>
      </c>
      <c r="K39" s="51"/>
      <c r="L39" s="51" t="s">
        <v>63</v>
      </c>
      <c r="M39" s="51" t="s">
        <v>63</v>
      </c>
      <c r="N39" s="51"/>
      <c r="O39" s="51" t="s">
        <v>63</v>
      </c>
      <c r="P39" s="51" t="s">
        <v>63</v>
      </c>
      <c r="Q39" s="51"/>
      <c r="R39" s="51" t="s">
        <v>63</v>
      </c>
      <c r="S39" s="51" t="s">
        <v>63</v>
      </c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</row>
    <row r="40" spans="1:31" x14ac:dyDescent="0.25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</row>
    <row r="41" spans="1:31" x14ac:dyDescent="0.25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</row>
    <row r="42" spans="1:31" x14ac:dyDescent="0.2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</row>
    <row r="43" spans="1:31" x14ac:dyDescent="0.2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</row>
    <row r="44" spans="1:31" x14ac:dyDescent="0.2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</row>
    <row r="45" spans="1:31" x14ac:dyDescent="0.2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</row>
    <row r="46" spans="1:31" x14ac:dyDescent="0.25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</row>
    <row r="47" spans="1:31" x14ac:dyDescent="0.25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</row>
    <row r="48" spans="1:31" x14ac:dyDescent="0.25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</row>
    <row r="49" spans="1:31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</row>
    <row r="50" spans="1:31" x14ac:dyDescent="0.25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</row>
    <row r="51" spans="1:31" x14ac:dyDescent="0.25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</row>
    <row r="52" spans="1:31" x14ac:dyDescent="0.2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</row>
    <row r="53" spans="1:31" x14ac:dyDescent="0.2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</row>
    <row r="54" spans="1:31" x14ac:dyDescent="0.25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</row>
    <row r="55" spans="1:31" x14ac:dyDescent="0.2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</row>
    <row r="56" spans="1:31" x14ac:dyDescent="0.25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</row>
    <row r="57" spans="1:31" x14ac:dyDescent="0.25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</row>
    <row r="58" spans="1:31" x14ac:dyDescent="0.25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</row>
    <row r="59" spans="1:31" x14ac:dyDescent="0.2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</row>
    <row r="60" spans="1:31" x14ac:dyDescent="0.25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</row>
    <row r="61" spans="1:31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</row>
    <row r="62" spans="1:31" x14ac:dyDescent="0.25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</row>
    <row r="63" spans="1:31" x14ac:dyDescent="0.25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</row>
    <row r="64" spans="1:31" x14ac:dyDescent="0.25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</row>
    <row r="65" spans="1:31" x14ac:dyDescent="0.2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</row>
    <row r="66" spans="1:31" x14ac:dyDescent="0.25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</row>
    <row r="67" spans="1:31" x14ac:dyDescent="0.25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</row>
    <row r="68" spans="1:31" x14ac:dyDescent="0.25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</row>
    <row r="69" spans="1:31" x14ac:dyDescent="0.25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</row>
    <row r="70" spans="1:31" x14ac:dyDescent="0.25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</row>
    <row r="71" spans="1:31" x14ac:dyDescent="0.25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</row>
    <row r="72" spans="1:31" x14ac:dyDescent="0.25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</row>
    <row r="73" spans="1:31" x14ac:dyDescent="0.25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</row>
    <row r="74" spans="1:31" x14ac:dyDescent="0.25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</row>
    <row r="75" spans="1:31" x14ac:dyDescent="0.2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</row>
    <row r="76" spans="1:31" x14ac:dyDescent="0.25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</row>
    <row r="77" spans="1:31" x14ac:dyDescent="0.25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</row>
    <row r="78" spans="1:31" x14ac:dyDescent="0.25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</row>
    <row r="79" spans="1:31" x14ac:dyDescent="0.25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</row>
    <row r="80" spans="1:31" x14ac:dyDescent="0.25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</row>
    <row r="81" spans="1:31" x14ac:dyDescent="0.25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</row>
    <row r="82" spans="1:31" x14ac:dyDescent="0.25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</row>
    <row r="83" spans="1:31" x14ac:dyDescent="0.25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</row>
    <row r="84" spans="1:31" x14ac:dyDescent="0.25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</row>
    <row r="85" spans="1:31" x14ac:dyDescent="0.2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</row>
    <row r="86" spans="1:31" x14ac:dyDescent="0.25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</row>
    <row r="87" spans="1:31" x14ac:dyDescent="0.25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</row>
    <row r="88" spans="1:31" x14ac:dyDescent="0.25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</row>
    <row r="89" spans="1:31" x14ac:dyDescent="0.25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</row>
    <row r="90" spans="1:31" x14ac:dyDescent="0.25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</row>
    <row r="91" spans="1:31" x14ac:dyDescent="0.25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</row>
    <row r="92" spans="1:31" x14ac:dyDescent="0.2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</row>
    <row r="93" spans="1:31" x14ac:dyDescent="0.25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</row>
    <row r="94" spans="1:31" x14ac:dyDescent="0.2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</row>
    <row r="95" spans="1:31" x14ac:dyDescent="0.2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</row>
    <row r="96" spans="1:31" x14ac:dyDescent="0.2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</row>
    <row r="97" spans="1:31" x14ac:dyDescent="0.2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</row>
    <row r="98" spans="1:31" x14ac:dyDescent="0.2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</row>
    <row r="99" spans="1:31" x14ac:dyDescent="0.2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</row>
    <row r="100" spans="1:31" x14ac:dyDescent="0.2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</row>
    <row r="101" spans="1:31" x14ac:dyDescent="0.2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</row>
    <row r="102" spans="1:31" x14ac:dyDescent="0.2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</row>
    <row r="103" spans="1:31" x14ac:dyDescent="0.2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</row>
    <row r="104" spans="1:31" x14ac:dyDescent="0.2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</row>
    <row r="105" spans="1:31" x14ac:dyDescent="0.2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</row>
    <row r="106" spans="1:31" x14ac:dyDescent="0.2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</row>
    <row r="107" spans="1:31" x14ac:dyDescent="0.2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</row>
    <row r="108" spans="1:31" x14ac:dyDescent="0.2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</row>
    <row r="109" spans="1:31" x14ac:dyDescent="0.2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</row>
    <row r="110" spans="1:31" x14ac:dyDescent="0.2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</row>
    <row r="111" spans="1:31" x14ac:dyDescent="0.2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</row>
    <row r="112" spans="1:31" x14ac:dyDescent="0.2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</row>
    <row r="113" spans="1:31" x14ac:dyDescent="0.2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</row>
    <row r="114" spans="1:31" x14ac:dyDescent="0.2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</row>
    <row r="115" spans="1:31" x14ac:dyDescent="0.2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</row>
    <row r="116" spans="1:31" x14ac:dyDescent="0.2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</row>
    <row r="117" spans="1:31" x14ac:dyDescent="0.2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</row>
    <row r="118" spans="1:31" x14ac:dyDescent="0.2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</row>
    <row r="119" spans="1:31" x14ac:dyDescent="0.2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</row>
    <row r="120" spans="1:31" x14ac:dyDescent="0.2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</row>
    <row r="121" spans="1:31" x14ac:dyDescent="0.2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</row>
    <row r="122" spans="1:31" x14ac:dyDescent="0.2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</row>
    <row r="123" spans="1:31" x14ac:dyDescent="0.2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</row>
    <row r="124" spans="1:31" x14ac:dyDescent="0.2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</row>
    <row r="125" spans="1:31" x14ac:dyDescent="0.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</row>
    <row r="126" spans="1:31" x14ac:dyDescent="0.2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</row>
    <row r="127" spans="1:31" x14ac:dyDescent="0.2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</row>
    <row r="128" spans="1:31" x14ac:dyDescent="0.2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</row>
    <row r="129" spans="1:31" x14ac:dyDescent="0.2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</row>
    <row r="130" spans="1:31" x14ac:dyDescent="0.2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</row>
    <row r="131" spans="1:31" x14ac:dyDescent="0.2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</row>
    <row r="132" spans="1:31" x14ac:dyDescent="0.2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</row>
    <row r="133" spans="1:31" x14ac:dyDescent="0.2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</row>
    <row r="134" spans="1:31" x14ac:dyDescent="0.2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</row>
    <row r="135" spans="1:31" x14ac:dyDescent="0.2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</row>
    <row r="136" spans="1:31" x14ac:dyDescent="0.2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</row>
    <row r="137" spans="1:31" x14ac:dyDescent="0.2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</row>
    <row r="138" spans="1:31" x14ac:dyDescent="0.2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</row>
    <row r="139" spans="1:31" x14ac:dyDescent="0.2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</row>
    <row r="140" spans="1:31" x14ac:dyDescent="0.2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</row>
    <row r="141" spans="1:31" x14ac:dyDescent="0.25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</row>
    <row r="142" spans="1:31" x14ac:dyDescent="0.2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</row>
    <row r="143" spans="1:31" x14ac:dyDescent="0.2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</row>
    <row r="144" spans="1:31" x14ac:dyDescent="0.2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</row>
    <row r="145" spans="1:31" x14ac:dyDescent="0.2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</row>
    <row r="146" spans="1:31" x14ac:dyDescent="0.2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</row>
    <row r="147" spans="1:31" x14ac:dyDescent="0.2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</row>
    <row r="148" spans="1:31" x14ac:dyDescent="0.2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</row>
    <row r="149" spans="1:31" x14ac:dyDescent="0.2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</row>
    <row r="150" spans="1:31" x14ac:dyDescent="0.2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</row>
    <row r="151" spans="1:31" x14ac:dyDescent="0.2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</row>
    <row r="152" spans="1:31" x14ac:dyDescent="0.2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</row>
    <row r="153" spans="1:31" x14ac:dyDescent="0.2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</row>
    <row r="154" spans="1:31" x14ac:dyDescent="0.2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</row>
    <row r="155" spans="1:31" x14ac:dyDescent="0.2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</row>
    <row r="156" spans="1:31" x14ac:dyDescent="0.2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</row>
    <row r="157" spans="1:31" x14ac:dyDescent="0.2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</row>
    <row r="158" spans="1:31" x14ac:dyDescent="0.2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</row>
    <row r="159" spans="1:31" x14ac:dyDescent="0.2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</row>
    <row r="160" spans="1:31" x14ac:dyDescent="0.2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</row>
    <row r="161" spans="1:31" x14ac:dyDescent="0.2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</row>
    <row r="162" spans="1:31" x14ac:dyDescent="0.2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</row>
    <row r="163" spans="1:31" x14ac:dyDescent="0.2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</row>
    <row r="164" spans="1:31" x14ac:dyDescent="0.2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</row>
    <row r="165" spans="1:31" x14ac:dyDescent="0.2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</row>
    <row r="166" spans="1:31" x14ac:dyDescent="0.2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</row>
    <row r="167" spans="1:31" x14ac:dyDescent="0.2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</row>
    <row r="168" spans="1:31" x14ac:dyDescent="0.2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</row>
    <row r="169" spans="1:31" x14ac:dyDescent="0.2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</row>
    <row r="170" spans="1:31" x14ac:dyDescent="0.2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</row>
    <row r="171" spans="1:31" x14ac:dyDescent="0.2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</row>
    <row r="172" spans="1:31" x14ac:dyDescent="0.2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</row>
    <row r="173" spans="1:31" x14ac:dyDescent="0.2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</row>
    <row r="174" spans="1:31" x14ac:dyDescent="0.2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</row>
    <row r="175" spans="1:31" x14ac:dyDescent="0.2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</row>
    <row r="176" spans="1:31" x14ac:dyDescent="0.2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</row>
    <row r="177" spans="1:31" x14ac:dyDescent="0.2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</row>
    <row r="178" spans="1:31" x14ac:dyDescent="0.2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</row>
    <row r="179" spans="1:31" x14ac:dyDescent="0.2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</row>
    <row r="180" spans="1:31" x14ac:dyDescent="0.2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</row>
    <row r="181" spans="1:31" x14ac:dyDescent="0.2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</row>
    <row r="182" spans="1:31" x14ac:dyDescent="0.2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</row>
    <row r="183" spans="1:31" x14ac:dyDescent="0.2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</row>
    <row r="184" spans="1:31" x14ac:dyDescent="0.2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</row>
    <row r="185" spans="1:31" x14ac:dyDescent="0.2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</row>
    <row r="186" spans="1:31" x14ac:dyDescent="0.2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</row>
    <row r="187" spans="1:31" x14ac:dyDescent="0.2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</row>
    <row r="188" spans="1:31" x14ac:dyDescent="0.2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</row>
    <row r="189" spans="1:31" x14ac:dyDescent="0.2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</row>
    <row r="190" spans="1:31" x14ac:dyDescent="0.2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</row>
    <row r="191" spans="1:31" x14ac:dyDescent="0.2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</row>
    <row r="192" spans="1:31" x14ac:dyDescent="0.2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</row>
    <row r="193" spans="1:31" x14ac:dyDescent="0.2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</row>
    <row r="194" spans="1:31" x14ac:dyDescent="0.2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</row>
    <row r="195" spans="1:31" x14ac:dyDescent="0.2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</row>
    <row r="196" spans="1:31" x14ac:dyDescent="0.2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</row>
    <row r="197" spans="1:31" x14ac:dyDescent="0.2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</row>
    <row r="198" spans="1:31" x14ac:dyDescent="0.2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</row>
    <row r="199" spans="1:31" x14ac:dyDescent="0.2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</row>
    <row r="200" spans="1:31" x14ac:dyDescent="0.2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</row>
    <row r="201" spans="1:31" x14ac:dyDescent="0.2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</row>
    <row r="202" spans="1:31" x14ac:dyDescent="0.2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</row>
    <row r="203" spans="1:31" x14ac:dyDescent="0.2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</row>
    <row r="204" spans="1:31" x14ac:dyDescent="0.2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</row>
    <row r="205" spans="1:31" x14ac:dyDescent="0.2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</row>
    <row r="206" spans="1:31" x14ac:dyDescent="0.2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</row>
    <row r="207" spans="1:31" x14ac:dyDescent="0.2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</row>
    <row r="208" spans="1:31" x14ac:dyDescent="0.2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</row>
    <row r="209" spans="1:31" x14ac:dyDescent="0.2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</row>
    <row r="210" spans="1:31" x14ac:dyDescent="0.2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</row>
    <row r="211" spans="1:31" x14ac:dyDescent="0.2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</row>
    <row r="212" spans="1:31" x14ac:dyDescent="0.2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</row>
    <row r="213" spans="1:31" x14ac:dyDescent="0.2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</row>
    <row r="214" spans="1:31" x14ac:dyDescent="0.2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</row>
    <row r="215" spans="1:31" x14ac:dyDescent="0.2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</row>
    <row r="216" spans="1:31" x14ac:dyDescent="0.2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</row>
    <row r="217" spans="1:31" x14ac:dyDescent="0.2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</row>
    <row r="218" spans="1:31" x14ac:dyDescent="0.2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</row>
    <row r="219" spans="1:31" x14ac:dyDescent="0.2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</row>
    <row r="220" spans="1:31" x14ac:dyDescent="0.2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</row>
    <row r="221" spans="1:31" x14ac:dyDescent="0.2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</row>
    <row r="222" spans="1:31" x14ac:dyDescent="0.2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</row>
    <row r="223" spans="1:31" x14ac:dyDescent="0.2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</row>
    <row r="224" spans="1:31" x14ac:dyDescent="0.2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</row>
    <row r="225" spans="1:31" x14ac:dyDescent="0.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</row>
    <row r="226" spans="1:31" x14ac:dyDescent="0.2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</row>
    <row r="227" spans="1:31" x14ac:dyDescent="0.25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</row>
    <row r="228" spans="1:31" x14ac:dyDescent="0.2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</row>
    <row r="229" spans="1:31" x14ac:dyDescent="0.25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</row>
    <row r="230" spans="1:31" x14ac:dyDescent="0.25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</row>
    <row r="231" spans="1:31" x14ac:dyDescent="0.25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</row>
    <row r="232" spans="1:31" x14ac:dyDescent="0.2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</row>
    <row r="233" spans="1:31" x14ac:dyDescent="0.25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</row>
    <row r="234" spans="1:31" x14ac:dyDescent="0.25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</row>
    <row r="235" spans="1:31" x14ac:dyDescent="0.2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</row>
    <row r="236" spans="1:31" x14ac:dyDescent="0.25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</row>
    <row r="237" spans="1:31" x14ac:dyDescent="0.25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</row>
    <row r="238" spans="1:31" x14ac:dyDescent="0.25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</row>
    <row r="239" spans="1:31" x14ac:dyDescent="0.25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</row>
    <row r="240" spans="1:31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</row>
    <row r="241" spans="1:31" x14ac:dyDescent="0.25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</row>
    <row r="242" spans="1:31" x14ac:dyDescent="0.25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</row>
    <row r="243" spans="1:31" x14ac:dyDescent="0.25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</row>
    <row r="244" spans="1:31" x14ac:dyDescent="0.25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</row>
    <row r="245" spans="1:31" x14ac:dyDescent="0.2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</row>
    <row r="246" spans="1:31" x14ac:dyDescent="0.25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</row>
    <row r="247" spans="1:31" x14ac:dyDescent="0.25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</row>
    <row r="248" spans="1:31" x14ac:dyDescent="0.25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</row>
    <row r="249" spans="1:31" x14ac:dyDescent="0.25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</row>
    <row r="250" spans="1:31" x14ac:dyDescent="0.25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</row>
    <row r="251" spans="1:31" x14ac:dyDescent="0.25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</row>
    <row r="252" spans="1:31" x14ac:dyDescent="0.25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</row>
    <row r="253" spans="1:31" x14ac:dyDescent="0.25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</row>
    <row r="254" spans="1:31" x14ac:dyDescent="0.25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</row>
    <row r="255" spans="1:31" x14ac:dyDescent="0.2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</row>
    <row r="256" spans="1:31" x14ac:dyDescent="0.25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</row>
    <row r="257" spans="1:31" x14ac:dyDescent="0.25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</row>
    <row r="258" spans="1:31" x14ac:dyDescent="0.25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</row>
    <row r="259" spans="1:31" x14ac:dyDescent="0.25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</row>
    <row r="260" spans="1:31" x14ac:dyDescent="0.25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</row>
    <row r="261" spans="1:31" x14ac:dyDescent="0.25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</row>
    <row r="262" spans="1:31" x14ac:dyDescent="0.25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</row>
    <row r="263" spans="1:31" x14ac:dyDescent="0.25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</row>
    <row r="264" spans="1:31" x14ac:dyDescent="0.25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</row>
    <row r="265" spans="1:31" x14ac:dyDescent="0.2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</row>
    <row r="266" spans="1:31" x14ac:dyDescent="0.25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</row>
    <row r="267" spans="1:31" x14ac:dyDescent="0.25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</row>
    <row r="268" spans="1:31" x14ac:dyDescent="0.25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</row>
    <row r="269" spans="1:31" x14ac:dyDescent="0.25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</row>
    <row r="270" spans="1:31" x14ac:dyDescent="0.25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</row>
    <row r="271" spans="1:31" x14ac:dyDescent="0.25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</row>
    <row r="272" spans="1:31" x14ac:dyDescent="0.25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</row>
    <row r="273" spans="1:31" x14ac:dyDescent="0.25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</row>
    <row r="274" spans="1:31" x14ac:dyDescent="0.25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</row>
    <row r="275" spans="1:31" x14ac:dyDescent="0.2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</row>
    <row r="276" spans="1:31" x14ac:dyDescent="0.25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</row>
    <row r="277" spans="1:31" x14ac:dyDescent="0.25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</row>
    <row r="278" spans="1:31" x14ac:dyDescent="0.25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</row>
    <row r="279" spans="1:31" x14ac:dyDescent="0.25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</row>
    <row r="280" spans="1:31" x14ac:dyDescent="0.25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</row>
    <row r="281" spans="1:31" x14ac:dyDescent="0.25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</row>
    <row r="282" spans="1:31" x14ac:dyDescent="0.25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</row>
    <row r="283" spans="1:31" x14ac:dyDescent="0.25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</row>
    <row r="284" spans="1:31" x14ac:dyDescent="0.25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</row>
    <row r="285" spans="1:31" x14ac:dyDescent="0.2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</row>
    <row r="286" spans="1:31" x14ac:dyDescent="0.25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</row>
    <row r="287" spans="1:31" x14ac:dyDescent="0.25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</row>
    <row r="288" spans="1:31" x14ac:dyDescent="0.25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</row>
    <row r="289" spans="1:31" x14ac:dyDescent="0.25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</row>
    <row r="290" spans="1:31" x14ac:dyDescent="0.25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</row>
    <row r="291" spans="1:31" x14ac:dyDescent="0.25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</row>
    <row r="292" spans="1:31" x14ac:dyDescent="0.25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</row>
    <row r="293" spans="1:31" x14ac:dyDescent="0.25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</row>
    <row r="294" spans="1:31" x14ac:dyDescent="0.25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</row>
    <row r="295" spans="1:31" x14ac:dyDescent="0.2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</row>
    <row r="296" spans="1:31" x14ac:dyDescent="0.25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</row>
    <row r="297" spans="1:31" x14ac:dyDescent="0.25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</row>
    <row r="298" spans="1:31" x14ac:dyDescent="0.25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</row>
    <row r="299" spans="1:31" x14ac:dyDescent="0.25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</row>
    <row r="300" spans="1:31" x14ac:dyDescent="0.25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</row>
    <row r="301" spans="1:31" x14ac:dyDescent="0.25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</row>
    <row r="302" spans="1:31" x14ac:dyDescent="0.25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</row>
    <row r="303" spans="1:31" x14ac:dyDescent="0.25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</row>
    <row r="304" spans="1:31" x14ac:dyDescent="0.25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</row>
    <row r="305" spans="1:31" x14ac:dyDescent="0.2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</row>
    <row r="306" spans="1:31" x14ac:dyDescent="0.25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</row>
    <row r="307" spans="1:31" x14ac:dyDescent="0.25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</row>
    <row r="308" spans="1:31" x14ac:dyDescent="0.25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</row>
    <row r="309" spans="1:31" x14ac:dyDescent="0.25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</row>
    <row r="310" spans="1:31" x14ac:dyDescent="0.25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</row>
    <row r="311" spans="1:31" x14ac:dyDescent="0.25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</row>
    <row r="312" spans="1:31" x14ac:dyDescent="0.25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</row>
    <row r="313" spans="1:31" x14ac:dyDescent="0.25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</row>
    <row r="314" spans="1:31" x14ac:dyDescent="0.25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</row>
    <row r="315" spans="1:31" x14ac:dyDescent="0.2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</row>
    <row r="316" spans="1:31" x14ac:dyDescent="0.25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</row>
    <row r="317" spans="1:31" x14ac:dyDescent="0.25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</row>
    <row r="318" spans="1:31" x14ac:dyDescent="0.25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</row>
    <row r="319" spans="1:31" x14ac:dyDescent="0.25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</row>
    <row r="320" spans="1:31" x14ac:dyDescent="0.25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</row>
    <row r="321" spans="1:31" x14ac:dyDescent="0.25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</row>
    <row r="322" spans="1:31" x14ac:dyDescent="0.25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</row>
    <row r="323" spans="1:31" x14ac:dyDescent="0.25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</row>
    <row r="324" spans="1:31" x14ac:dyDescent="0.25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</row>
    <row r="325" spans="1:31" x14ac:dyDescent="0.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</row>
    <row r="326" spans="1:31" x14ac:dyDescent="0.25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</row>
    <row r="327" spans="1:31" x14ac:dyDescent="0.25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</row>
    <row r="328" spans="1:31" x14ac:dyDescent="0.25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</row>
    <row r="329" spans="1:31" x14ac:dyDescent="0.25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</row>
    <row r="330" spans="1:31" x14ac:dyDescent="0.25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</row>
    <row r="331" spans="1:31" x14ac:dyDescent="0.25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</row>
    <row r="332" spans="1:31" x14ac:dyDescent="0.25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</row>
    <row r="333" spans="1:31" x14ac:dyDescent="0.25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</row>
    <row r="334" spans="1:31" x14ac:dyDescent="0.25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</row>
    <row r="335" spans="1:31" x14ac:dyDescent="0.2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</row>
    <row r="336" spans="1:31" x14ac:dyDescent="0.25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</row>
    <row r="337" spans="1:31" x14ac:dyDescent="0.25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</row>
    <row r="338" spans="1:31" x14ac:dyDescent="0.25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</row>
    <row r="339" spans="1:31" x14ac:dyDescent="0.25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</row>
    <row r="340" spans="1:31" x14ac:dyDescent="0.25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</row>
    <row r="341" spans="1:31" x14ac:dyDescent="0.25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</row>
    <row r="342" spans="1:31" x14ac:dyDescent="0.25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</row>
    <row r="343" spans="1:31" x14ac:dyDescent="0.25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</row>
    <row r="344" spans="1:31" x14ac:dyDescent="0.25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</row>
    <row r="345" spans="1:31" x14ac:dyDescent="0.2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</row>
    <row r="346" spans="1:31" x14ac:dyDescent="0.25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</row>
    <row r="347" spans="1:31" x14ac:dyDescent="0.25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</row>
    <row r="348" spans="1:31" x14ac:dyDescent="0.25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</row>
    <row r="349" spans="1:31" x14ac:dyDescent="0.25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</row>
    <row r="350" spans="1:31" x14ac:dyDescent="0.25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</row>
    <row r="351" spans="1:31" x14ac:dyDescent="0.25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</row>
    <row r="352" spans="1:31" x14ac:dyDescent="0.25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</row>
    <row r="353" spans="1:31" x14ac:dyDescent="0.25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</row>
    <row r="354" spans="1:31" x14ac:dyDescent="0.25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</row>
    <row r="355" spans="1:31" x14ac:dyDescent="0.2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</row>
    <row r="356" spans="1:31" x14ac:dyDescent="0.25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</row>
    <row r="357" spans="1:31" x14ac:dyDescent="0.25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</row>
    <row r="358" spans="1:31" x14ac:dyDescent="0.25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</row>
    <row r="359" spans="1:31" x14ac:dyDescent="0.25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</row>
    <row r="360" spans="1:31" x14ac:dyDescent="0.25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</row>
    <row r="361" spans="1:31" x14ac:dyDescent="0.25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</row>
    <row r="362" spans="1:31" x14ac:dyDescent="0.25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</row>
    <row r="363" spans="1:31" x14ac:dyDescent="0.25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</row>
    <row r="364" spans="1:31" x14ac:dyDescent="0.25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</row>
    <row r="365" spans="1:31" x14ac:dyDescent="0.2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</row>
    <row r="366" spans="1:31" x14ac:dyDescent="0.25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</row>
    <row r="367" spans="1:31" x14ac:dyDescent="0.25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</row>
    <row r="368" spans="1:31" x14ac:dyDescent="0.25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</row>
    <row r="369" spans="1:31" x14ac:dyDescent="0.25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</row>
    <row r="370" spans="1:31" x14ac:dyDescent="0.25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</row>
    <row r="371" spans="1:31" x14ac:dyDescent="0.25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</row>
    <row r="372" spans="1:31" x14ac:dyDescent="0.25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</row>
    <row r="373" spans="1:31" x14ac:dyDescent="0.25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</row>
    <row r="374" spans="1:31" x14ac:dyDescent="0.25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</row>
    <row r="375" spans="1:31" x14ac:dyDescent="0.2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</row>
    <row r="376" spans="1:31" x14ac:dyDescent="0.25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</row>
    <row r="377" spans="1:31" x14ac:dyDescent="0.25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</row>
    <row r="378" spans="1:31" x14ac:dyDescent="0.25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</row>
    <row r="379" spans="1:31" x14ac:dyDescent="0.25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</row>
    <row r="380" spans="1:31" x14ac:dyDescent="0.25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</row>
    <row r="381" spans="1:31" x14ac:dyDescent="0.25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</row>
    <row r="382" spans="1:31" x14ac:dyDescent="0.25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</row>
    <row r="383" spans="1:31" x14ac:dyDescent="0.25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</row>
    <row r="384" spans="1:31" x14ac:dyDescent="0.25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</row>
    <row r="385" spans="1:31" x14ac:dyDescent="0.2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</row>
    <row r="386" spans="1:31" x14ac:dyDescent="0.25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</row>
    <row r="387" spans="1:31" x14ac:dyDescent="0.25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</row>
    <row r="388" spans="1:31" x14ac:dyDescent="0.25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</row>
    <row r="389" spans="1:31" x14ac:dyDescent="0.25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</row>
    <row r="390" spans="1:31" x14ac:dyDescent="0.25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</row>
    <row r="391" spans="1:31" x14ac:dyDescent="0.25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</row>
    <row r="392" spans="1:31" x14ac:dyDescent="0.25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</row>
    <row r="393" spans="1:31" x14ac:dyDescent="0.25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</row>
    <row r="394" spans="1:31" x14ac:dyDescent="0.25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</row>
    <row r="395" spans="1:31" x14ac:dyDescent="0.2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</row>
    <row r="396" spans="1:31" x14ac:dyDescent="0.25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</row>
    <row r="397" spans="1:31" x14ac:dyDescent="0.25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</row>
    <row r="398" spans="1:31" x14ac:dyDescent="0.25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</row>
    <row r="399" spans="1:31" x14ac:dyDescent="0.25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</row>
    <row r="400" spans="1:31" x14ac:dyDescent="0.25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</row>
    <row r="401" spans="1:31" x14ac:dyDescent="0.25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</row>
    <row r="402" spans="1:31" x14ac:dyDescent="0.25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</row>
    <row r="403" spans="1:31" x14ac:dyDescent="0.25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</row>
    <row r="404" spans="1:31" x14ac:dyDescent="0.25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</row>
    <row r="405" spans="1:31" x14ac:dyDescent="0.2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</row>
    <row r="406" spans="1:31" x14ac:dyDescent="0.25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</row>
    <row r="407" spans="1:31" x14ac:dyDescent="0.25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</row>
    <row r="408" spans="1:31" x14ac:dyDescent="0.25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</row>
    <row r="409" spans="1:31" x14ac:dyDescent="0.25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</row>
    <row r="410" spans="1:31" x14ac:dyDescent="0.25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</row>
    <row r="411" spans="1:31" x14ac:dyDescent="0.25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</row>
    <row r="412" spans="1:31" x14ac:dyDescent="0.25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</row>
    <row r="413" spans="1:31" x14ac:dyDescent="0.25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</row>
    <row r="414" spans="1:31" x14ac:dyDescent="0.25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</row>
    <row r="415" spans="1:31" x14ac:dyDescent="0.2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</row>
    <row r="416" spans="1:31" x14ac:dyDescent="0.25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</row>
    <row r="417" spans="1:31" x14ac:dyDescent="0.25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</row>
    <row r="418" spans="1:31" x14ac:dyDescent="0.25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</row>
    <row r="419" spans="1:31" x14ac:dyDescent="0.25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</row>
    <row r="420" spans="1:31" x14ac:dyDescent="0.25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</row>
    <row r="421" spans="1:31" x14ac:dyDescent="0.25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</row>
    <row r="422" spans="1:31" x14ac:dyDescent="0.25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</row>
    <row r="423" spans="1:31" x14ac:dyDescent="0.25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</row>
    <row r="424" spans="1:31" x14ac:dyDescent="0.25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</row>
    <row r="425" spans="1:31" x14ac:dyDescent="0.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</row>
    <row r="426" spans="1:31" x14ac:dyDescent="0.25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</row>
    <row r="427" spans="1:31" x14ac:dyDescent="0.25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</row>
    <row r="428" spans="1:31" x14ac:dyDescent="0.25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</row>
    <row r="429" spans="1:31" x14ac:dyDescent="0.25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</row>
    <row r="430" spans="1:31" x14ac:dyDescent="0.25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</row>
    <row r="431" spans="1:31" x14ac:dyDescent="0.25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</row>
    <row r="432" spans="1:31" x14ac:dyDescent="0.25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</row>
    <row r="433" spans="1:31" x14ac:dyDescent="0.25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</row>
    <row r="434" spans="1:31" x14ac:dyDescent="0.25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</row>
    <row r="435" spans="1:31" x14ac:dyDescent="0.2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</row>
    <row r="436" spans="1:31" x14ac:dyDescent="0.25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</row>
    <row r="437" spans="1:31" x14ac:dyDescent="0.25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</row>
    <row r="438" spans="1:31" x14ac:dyDescent="0.25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</row>
    <row r="439" spans="1:31" x14ac:dyDescent="0.25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</row>
    <row r="440" spans="1:31" x14ac:dyDescent="0.25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</row>
    <row r="441" spans="1:31" x14ac:dyDescent="0.25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</row>
    <row r="442" spans="1:31" x14ac:dyDescent="0.25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</row>
    <row r="443" spans="1:31" x14ac:dyDescent="0.25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</row>
    <row r="444" spans="1:31" x14ac:dyDescent="0.25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</row>
    <row r="445" spans="1:31" x14ac:dyDescent="0.2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</row>
    <row r="446" spans="1:31" x14ac:dyDescent="0.25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</row>
    <row r="447" spans="1:31" x14ac:dyDescent="0.25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</row>
    <row r="448" spans="1:31" x14ac:dyDescent="0.25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</row>
    <row r="449" spans="1:31" x14ac:dyDescent="0.25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</row>
    <row r="450" spans="1:31" x14ac:dyDescent="0.25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</row>
    <row r="451" spans="1:31" x14ac:dyDescent="0.25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</row>
    <row r="452" spans="1:31" x14ac:dyDescent="0.25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</row>
    <row r="453" spans="1:31" x14ac:dyDescent="0.25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</row>
    <row r="454" spans="1:31" x14ac:dyDescent="0.25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</row>
    <row r="455" spans="1:31" x14ac:dyDescent="0.2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</row>
    <row r="456" spans="1:31" x14ac:dyDescent="0.25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</row>
    <row r="457" spans="1:31" x14ac:dyDescent="0.25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</row>
    <row r="458" spans="1:31" x14ac:dyDescent="0.25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</row>
    <row r="459" spans="1:31" x14ac:dyDescent="0.25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</row>
    <row r="460" spans="1:31" x14ac:dyDescent="0.25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</row>
    <row r="461" spans="1:31" x14ac:dyDescent="0.25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</row>
    <row r="462" spans="1:31" x14ac:dyDescent="0.25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</row>
    <row r="463" spans="1:31" x14ac:dyDescent="0.25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</row>
    <row r="464" spans="1:31" x14ac:dyDescent="0.25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</row>
    <row r="465" spans="1:31" x14ac:dyDescent="0.2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</row>
    <row r="466" spans="1:31" x14ac:dyDescent="0.25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</row>
    <row r="467" spans="1:31" x14ac:dyDescent="0.25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</row>
    <row r="468" spans="1:31" x14ac:dyDescent="0.25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</row>
    <row r="469" spans="1:31" x14ac:dyDescent="0.25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</row>
    <row r="470" spans="1:31" x14ac:dyDescent="0.25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</row>
    <row r="471" spans="1:31" x14ac:dyDescent="0.25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</row>
    <row r="472" spans="1:31" x14ac:dyDescent="0.25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</row>
    <row r="473" spans="1:31" x14ac:dyDescent="0.25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</row>
    <row r="474" spans="1:31" x14ac:dyDescent="0.25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</row>
    <row r="475" spans="1:31" x14ac:dyDescent="0.2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</row>
    <row r="476" spans="1:31" x14ac:dyDescent="0.25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</row>
    <row r="477" spans="1:31" x14ac:dyDescent="0.25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</row>
    <row r="478" spans="1:31" x14ac:dyDescent="0.25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</row>
    <row r="479" spans="1:31" x14ac:dyDescent="0.25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</row>
    <row r="480" spans="1:31" x14ac:dyDescent="0.25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</row>
    <row r="481" spans="1:31" x14ac:dyDescent="0.25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</row>
    <row r="482" spans="1:31" x14ac:dyDescent="0.25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</row>
    <row r="483" spans="1:31" x14ac:dyDescent="0.25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</row>
    <row r="484" spans="1:31" x14ac:dyDescent="0.25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</row>
    <row r="485" spans="1:31" x14ac:dyDescent="0.2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</row>
    <row r="486" spans="1:31" x14ac:dyDescent="0.25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</row>
    <row r="487" spans="1:31" x14ac:dyDescent="0.25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</row>
    <row r="488" spans="1:31" x14ac:dyDescent="0.25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</row>
    <row r="489" spans="1:31" x14ac:dyDescent="0.25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</row>
    <row r="490" spans="1:31" x14ac:dyDescent="0.25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</row>
    <row r="491" spans="1:31" x14ac:dyDescent="0.25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</row>
    <row r="492" spans="1:31" x14ac:dyDescent="0.25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</row>
    <row r="493" spans="1:31" x14ac:dyDescent="0.25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</row>
    <row r="494" spans="1:31" x14ac:dyDescent="0.25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</row>
    <row r="495" spans="1:31" x14ac:dyDescent="0.2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</row>
    <row r="496" spans="1:31" x14ac:dyDescent="0.25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</row>
    <row r="497" spans="1:31" x14ac:dyDescent="0.25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</row>
    <row r="498" spans="1:31" x14ac:dyDescent="0.25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</row>
    <row r="499" spans="1:31" x14ac:dyDescent="0.25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</row>
    <row r="500" spans="1:31" x14ac:dyDescent="0.25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</row>
    <row r="501" spans="1:31" x14ac:dyDescent="0.25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</row>
    <row r="502" spans="1:31" x14ac:dyDescent="0.25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</row>
    <row r="503" spans="1:31" x14ac:dyDescent="0.25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</row>
    <row r="504" spans="1:31" x14ac:dyDescent="0.25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</row>
    <row r="505" spans="1:31" x14ac:dyDescent="0.2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</row>
    <row r="506" spans="1:31" x14ac:dyDescent="0.25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</row>
    <row r="507" spans="1:31" x14ac:dyDescent="0.25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</row>
    <row r="508" spans="1:31" x14ac:dyDescent="0.25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</row>
    <row r="509" spans="1:31" x14ac:dyDescent="0.25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</row>
    <row r="510" spans="1:31" x14ac:dyDescent="0.25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</row>
    <row r="511" spans="1:31" x14ac:dyDescent="0.25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</row>
    <row r="512" spans="1:31" x14ac:dyDescent="0.25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</row>
    <row r="513" spans="1:31" x14ac:dyDescent="0.25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</row>
    <row r="514" spans="1:31" x14ac:dyDescent="0.25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</row>
    <row r="515" spans="1:31" x14ac:dyDescent="0.2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</row>
    <row r="516" spans="1:31" x14ac:dyDescent="0.25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</row>
    <row r="517" spans="1:31" x14ac:dyDescent="0.25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</row>
    <row r="518" spans="1:31" x14ac:dyDescent="0.25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</row>
    <row r="519" spans="1:31" x14ac:dyDescent="0.25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</row>
    <row r="520" spans="1:31" x14ac:dyDescent="0.25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</row>
    <row r="521" spans="1:31" x14ac:dyDescent="0.25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</row>
    <row r="522" spans="1:31" x14ac:dyDescent="0.25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</row>
    <row r="523" spans="1:31" x14ac:dyDescent="0.25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</row>
    <row r="524" spans="1:31" x14ac:dyDescent="0.25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</row>
    <row r="525" spans="1:31" x14ac:dyDescent="0.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</row>
    <row r="526" spans="1:31" x14ac:dyDescent="0.25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</row>
    <row r="527" spans="1:31" x14ac:dyDescent="0.25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</row>
    <row r="528" spans="1:31" x14ac:dyDescent="0.25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</row>
    <row r="529" spans="1:31" x14ac:dyDescent="0.25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</row>
    <row r="530" spans="1:31" x14ac:dyDescent="0.25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</row>
    <row r="531" spans="1:31" x14ac:dyDescent="0.25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</row>
    <row r="532" spans="1:31" x14ac:dyDescent="0.25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</row>
    <row r="533" spans="1:31" x14ac:dyDescent="0.25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</row>
    <row r="534" spans="1:31" x14ac:dyDescent="0.25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</row>
    <row r="535" spans="1:31" x14ac:dyDescent="0.2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</row>
    <row r="536" spans="1:31" x14ac:dyDescent="0.25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</row>
    <row r="537" spans="1:31" x14ac:dyDescent="0.25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</row>
    <row r="538" spans="1:31" x14ac:dyDescent="0.25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</row>
    <row r="539" spans="1:31" x14ac:dyDescent="0.25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</row>
    <row r="540" spans="1:31" x14ac:dyDescent="0.25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</row>
    <row r="541" spans="1:31" x14ac:dyDescent="0.25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</row>
    <row r="542" spans="1:31" x14ac:dyDescent="0.25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</row>
    <row r="543" spans="1:31" x14ac:dyDescent="0.25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</row>
    <row r="544" spans="1:31" x14ac:dyDescent="0.25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</row>
    <row r="545" spans="1:31" x14ac:dyDescent="0.2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</row>
    <row r="546" spans="1:31" x14ac:dyDescent="0.25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</row>
    <row r="547" spans="1:31" x14ac:dyDescent="0.25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</row>
    <row r="548" spans="1:31" x14ac:dyDescent="0.25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</row>
    <row r="549" spans="1:31" x14ac:dyDescent="0.25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</row>
    <row r="550" spans="1:31" x14ac:dyDescent="0.25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</row>
    <row r="551" spans="1:31" x14ac:dyDescent="0.25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</row>
    <row r="552" spans="1:31" x14ac:dyDescent="0.25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</row>
    <row r="553" spans="1:31" x14ac:dyDescent="0.25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</row>
    <row r="554" spans="1:31" x14ac:dyDescent="0.25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</row>
    <row r="555" spans="1:31" x14ac:dyDescent="0.2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</row>
    <row r="556" spans="1:31" x14ac:dyDescent="0.25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</row>
    <row r="557" spans="1:31" x14ac:dyDescent="0.25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</row>
    <row r="558" spans="1:31" x14ac:dyDescent="0.25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</row>
    <row r="559" spans="1:31" x14ac:dyDescent="0.25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</row>
    <row r="560" spans="1:31" x14ac:dyDescent="0.25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</row>
    <row r="561" spans="1:31" x14ac:dyDescent="0.25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</row>
    <row r="562" spans="1:31" x14ac:dyDescent="0.25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</row>
    <row r="563" spans="1:31" x14ac:dyDescent="0.25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</row>
    <row r="564" spans="1:31" x14ac:dyDescent="0.25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</row>
    <row r="565" spans="1:31" x14ac:dyDescent="0.2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</row>
    <row r="566" spans="1:31" x14ac:dyDescent="0.25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</row>
    <row r="567" spans="1:31" x14ac:dyDescent="0.25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</row>
    <row r="568" spans="1:31" x14ac:dyDescent="0.25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</row>
    <row r="569" spans="1:31" x14ac:dyDescent="0.25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</row>
    <row r="570" spans="1:31" x14ac:dyDescent="0.25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</row>
    <row r="571" spans="1:31" x14ac:dyDescent="0.25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</row>
    <row r="572" spans="1:31" x14ac:dyDescent="0.25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</row>
    <row r="573" spans="1:31" x14ac:dyDescent="0.25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</row>
    <row r="574" spans="1:31" x14ac:dyDescent="0.25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</row>
    <row r="575" spans="1:31" x14ac:dyDescent="0.2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</row>
    <row r="576" spans="1:31" x14ac:dyDescent="0.25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</row>
    <row r="577" spans="1:31" x14ac:dyDescent="0.25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</row>
    <row r="578" spans="1:31" x14ac:dyDescent="0.25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</row>
    <row r="579" spans="1:31" x14ac:dyDescent="0.25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</row>
    <row r="580" spans="1:31" x14ac:dyDescent="0.25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</row>
    <row r="581" spans="1:31" x14ac:dyDescent="0.25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</row>
    <row r="582" spans="1:31" x14ac:dyDescent="0.25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</row>
    <row r="583" spans="1:31" x14ac:dyDescent="0.25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</row>
    <row r="584" spans="1:31" x14ac:dyDescent="0.25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</row>
    <row r="585" spans="1:31" x14ac:dyDescent="0.2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</row>
    <row r="586" spans="1:31" x14ac:dyDescent="0.25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</row>
    <row r="587" spans="1:31" x14ac:dyDescent="0.25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</row>
    <row r="588" spans="1:31" x14ac:dyDescent="0.25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</row>
    <row r="589" spans="1:31" x14ac:dyDescent="0.25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</row>
    <row r="590" spans="1:31" x14ac:dyDescent="0.25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</row>
    <row r="591" spans="1:31" x14ac:dyDescent="0.25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</row>
    <row r="592" spans="1:31" x14ac:dyDescent="0.25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</row>
    <row r="593" spans="1:31" x14ac:dyDescent="0.25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</row>
    <row r="594" spans="1:31" x14ac:dyDescent="0.25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</row>
    <row r="595" spans="1:31" x14ac:dyDescent="0.2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</row>
    <row r="596" spans="1:31" x14ac:dyDescent="0.25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</row>
    <row r="597" spans="1:31" x14ac:dyDescent="0.25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</row>
    <row r="598" spans="1:31" x14ac:dyDescent="0.25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</row>
    <row r="599" spans="1:31" x14ac:dyDescent="0.25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</row>
    <row r="600" spans="1:31" x14ac:dyDescent="0.25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</row>
    <row r="601" spans="1:31" x14ac:dyDescent="0.25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</row>
    <row r="602" spans="1:31" x14ac:dyDescent="0.25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</row>
    <row r="603" spans="1:31" x14ac:dyDescent="0.25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</row>
    <row r="604" spans="1:31" x14ac:dyDescent="0.25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</row>
    <row r="605" spans="1:31" x14ac:dyDescent="0.2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</row>
    <row r="606" spans="1:31" x14ac:dyDescent="0.25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</row>
    <row r="607" spans="1:31" x14ac:dyDescent="0.25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</row>
    <row r="608" spans="1:31" x14ac:dyDescent="0.25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</row>
    <row r="609" spans="1:31" x14ac:dyDescent="0.25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</row>
    <row r="610" spans="1:31" x14ac:dyDescent="0.25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</row>
    <row r="611" spans="1:31" x14ac:dyDescent="0.25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</row>
    <row r="612" spans="1:31" x14ac:dyDescent="0.25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</row>
    <row r="613" spans="1:31" x14ac:dyDescent="0.25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</row>
    <row r="614" spans="1:31" x14ac:dyDescent="0.25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</row>
    <row r="615" spans="1:31" x14ac:dyDescent="0.2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</row>
    <row r="616" spans="1:31" x14ac:dyDescent="0.25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</row>
    <row r="617" spans="1:31" x14ac:dyDescent="0.25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</row>
    <row r="618" spans="1:31" x14ac:dyDescent="0.25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</row>
    <row r="619" spans="1:31" x14ac:dyDescent="0.25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</row>
    <row r="620" spans="1:31" x14ac:dyDescent="0.25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</row>
    <row r="621" spans="1:31" x14ac:dyDescent="0.25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</row>
    <row r="622" spans="1:31" x14ac:dyDescent="0.25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</row>
    <row r="623" spans="1:31" x14ac:dyDescent="0.25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</row>
    <row r="624" spans="1:31" x14ac:dyDescent="0.25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</row>
    <row r="625" spans="1:31" x14ac:dyDescent="0.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</row>
    <row r="626" spans="1:31" x14ac:dyDescent="0.25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</row>
    <row r="627" spans="1:31" x14ac:dyDescent="0.25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</row>
    <row r="628" spans="1:31" x14ac:dyDescent="0.25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</row>
    <row r="629" spans="1:31" x14ac:dyDescent="0.25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</row>
    <row r="630" spans="1:31" x14ac:dyDescent="0.25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</row>
    <row r="631" spans="1:31" x14ac:dyDescent="0.25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</row>
    <row r="632" spans="1:31" x14ac:dyDescent="0.25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</row>
    <row r="633" spans="1:31" x14ac:dyDescent="0.25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</row>
    <row r="634" spans="1:31" x14ac:dyDescent="0.25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</row>
    <row r="635" spans="1:31" x14ac:dyDescent="0.2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</row>
    <row r="636" spans="1:31" x14ac:dyDescent="0.25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</row>
    <row r="637" spans="1:31" x14ac:dyDescent="0.25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</row>
    <row r="638" spans="1:31" x14ac:dyDescent="0.25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</row>
    <row r="639" spans="1:31" x14ac:dyDescent="0.25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</row>
    <row r="640" spans="1:31" x14ac:dyDescent="0.25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</row>
    <row r="641" spans="1:31" x14ac:dyDescent="0.25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</row>
    <row r="642" spans="1:31" x14ac:dyDescent="0.25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</row>
    <row r="643" spans="1:31" x14ac:dyDescent="0.25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</row>
    <row r="644" spans="1:31" x14ac:dyDescent="0.25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</row>
    <row r="645" spans="1:31" x14ac:dyDescent="0.2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</row>
    <row r="646" spans="1:31" x14ac:dyDescent="0.25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</row>
    <row r="647" spans="1:31" x14ac:dyDescent="0.25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</row>
    <row r="648" spans="1:31" x14ac:dyDescent="0.25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</row>
    <row r="649" spans="1:31" x14ac:dyDescent="0.25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</row>
    <row r="650" spans="1:31" x14ac:dyDescent="0.25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</row>
    <row r="651" spans="1:31" x14ac:dyDescent="0.25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</row>
    <row r="652" spans="1:31" x14ac:dyDescent="0.25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</row>
    <row r="653" spans="1:31" x14ac:dyDescent="0.25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</row>
    <row r="654" spans="1:31" x14ac:dyDescent="0.25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</row>
    <row r="655" spans="1:31" x14ac:dyDescent="0.2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</row>
    <row r="656" spans="1:31" x14ac:dyDescent="0.25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</row>
    <row r="657" spans="1:31" x14ac:dyDescent="0.25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</row>
    <row r="658" spans="1:31" x14ac:dyDescent="0.25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</row>
    <row r="659" spans="1:31" x14ac:dyDescent="0.25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</row>
    <row r="660" spans="1:31" x14ac:dyDescent="0.25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</row>
    <row r="661" spans="1:31" x14ac:dyDescent="0.25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</row>
    <row r="662" spans="1:31" x14ac:dyDescent="0.25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</row>
    <row r="663" spans="1:31" x14ac:dyDescent="0.25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</row>
    <row r="664" spans="1:31" x14ac:dyDescent="0.25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</row>
    <row r="665" spans="1:31" x14ac:dyDescent="0.2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</row>
    <row r="666" spans="1:31" x14ac:dyDescent="0.25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</row>
    <row r="667" spans="1:31" x14ac:dyDescent="0.25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</row>
    <row r="668" spans="1:31" x14ac:dyDescent="0.25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</row>
    <row r="669" spans="1:31" x14ac:dyDescent="0.25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</row>
    <row r="670" spans="1:31" x14ac:dyDescent="0.25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</row>
    <row r="671" spans="1:31" x14ac:dyDescent="0.25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</row>
    <row r="672" spans="1:31" x14ac:dyDescent="0.25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</row>
    <row r="673" spans="1:31" x14ac:dyDescent="0.25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</row>
    <row r="674" spans="1:31" x14ac:dyDescent="0.25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</row>
    <row r="675" spans="1:31" x14ac:dyDescent="0.2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</row>
    <row r="676" spans="1:31" x14ac:dyDescent="0.25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</row>
    <row r="677" spans="1:31" x14ac:dyDescent="0.25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</row>
    <row r="678" spans="1:31" x14ac:dyDescent="0.25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</row>
    <row r="679" spans="1:31" x14ac:dyDescent="0.25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</row>
    <row r="680" spans="1:31" x14ac:dyDescent="0.25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</row>
    <row r="681" spans="1:31" x14ac:dyDescent="0.25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</row>
    <row r="682" spans="1:31" x14ac:dyDescent="0.25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</row>
    <row r="683" spans="1:31" x14ac:dyDescent="0.25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</row>
    <row r="684" spans="1:31" x14ac:dyDescent="0.25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</row>
    <row r="685" spans="1:31" x14ac:dyDescent="0.2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</row>
    <row r="686" spans="1:31" x14ac:dyDescent="0.25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</row>
    <row r="687" spans="1:31" x14ac:dyDescent="0.25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</row>
    <row r="688" spans="1:31" x14ac:dyDescent="0.25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</row>
    <row r="689" spans="1:31" x14ac:dyDescent="0.25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</row>
    <row r="690" spans="1:31" x14ac:dyDescent="0.25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</row>
    <row r="691" spans="1:31" x14ac:dyDescent="0.25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</row>
    <row r="692" spans="1:31" x14ac:dyDescent="0.25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</row>
    <row r="693" spans="1:31" x14ac:dyDescent="0.25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</row>
    <row r="694" spans="1:31" x14ac:dyDescent="0.25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</row>
    <row r="695" spans="1:31" x14ac:dyDescent="0.2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</row>
    <row r="696" spans="1:31" x14ac:dyDescent="0.25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</row>
    <row r="697" spans="1:31" x14ac:dyDescent="0.25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</row>
    <row r="698" spans="1:31" x14ac:dyDescent="0.25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</row>
    <row r="699" spans="1:31" x14ac:dyDescent="0.25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</row>
    <row r="700" spans="1:31" x14ac:dyDescent="0.25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</row>
    <row r="701" spans="1:31" x14ac:dyDescent="0.25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</row>
    <row r="702" spans="1:31" x14ac:dyDescent="0.25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</row>
    <row r="703" spans="1:31" x14ac:dyDescent="0.25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</row>
    <row r="704" spans="1:31" x14ac:dyDescent="0.25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</row>
    <row r="705" spans="1:31" x14ac:dyDescent="0.2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</row>
    <row r="706" spans="1:31" x14ac:dyDescent="0.25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</row>
    <row r="707" spans="1:31" x14ac:dyDescent="0.25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</row>
    <row r="708" spans="1:31" x14ac:dyDescent="0.25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</row>
    <row r="709" spans="1:31" x14ac:dyDescent="0.25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</row>
    <row r="710" spans="1:31" x14ac:dyDescent="0.25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</row>
    <row r="711" spans="1:31" x14ac:dyDescent="0.25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</row>
    <row r="712" spans="1:31" x14ac:dyDescent="0.25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</row>
    <row r="713" spans="1:31" x14ac:dyDescent="0.25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</row>
    <row r="714" spans="1:31" x14ac:dyDescent="0.25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</row>
    <row r="715" spans="1:31" x14ac:dyDescent="0.2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</row>
    <row r="716" spans="1:31" x14ac:dyDescent="0.25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</row>
    <row r="717" spans="1:31" x14ac:dyDescent="0.25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</row>
    <row r="718" spans="1:31" x14ac:dyDescent="0.25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</row>
    <row r="719" spans="1:31" x14ac:dyDescent="0.25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</row>
    <row r="720" spans="1:31" x14ac:dyDescent="0.25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</row>
    <row r="721" spans="1:31" x14ac:dyDescent="0.25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</row>
    <row r="722" spans="1:31" x14ac:dyDescent="0.25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</row>
    <row r="723" spans="1:31" x14ac:dyDescent="0.25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</row>
    <row r="724" spans="1:31" x14ac:dyDescent="0.25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</row>
    <row r="725" spans="1:31" x14ac:dyDescent="0.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</row>
    <row r="726" spans="1:31" x14ac:dyDescent="0.25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</row>
    <row r="727" spans="1:31" x14ac:dyDescent="0.25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</row>
    <row r="728" spans="1:31" x14ac:dyDescent="0.25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</row>
    <row r="729" spans="1:31" x14ac:dyDescent="0.25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</row>
    <row r="730" spans="1:31" x14ac:dyDescent="0.25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</row>
    <row r="731" spans="1:31" x14ac:dyDescent="0.25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</row>
    <row r="732" spans="1:31" x14ac:dyDescent="0.25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</row>
    <row r="733" spans="1:31" x14ac:dyDescent="0.25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</row>
    <row r="734" spans="1:31" x14ac:dyDescent="0.25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</row>
    <row r="735" spans="1:31" x14ac:dyDescent="0.2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</row>
    <row r="736" spans="1:31" x14ac:dyDescent="0.25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</row>
    <row r="737" spans="1:31" x14ac:dyDescent="0.25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</row>
    <row r="738" spans="1:31" x14ac:dyDescent="0.25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</row>
    <row r="739" spans="1:31" x14ac:dyDescent="0.25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</row>
    <row r="740" spans="1:31" x14ac:dyDescent="0.25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</row>
    <row r="741" spans="1:31" x14ac:dyDescent="0.25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</row>
    <row r="742" spans="1:31" x14ac:dyDescent="0.25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</row>
    <row r="743" spans="1:31" x14ac:dyDescent="0.25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</row>
    <row r="744" spans="1:31" x14ac:dyDescent="0.25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</row>
    <row r="745" spans="1:31" x14ac:dyDescent="0.2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</row>
    <row r="746" spans="1:31" x14ac:dyDescent="0.25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</row>
    <row r="747" spans="1:31" x14ac:dyDescent="0.25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</row>
    <row r="748" spans="1:31" x14ac:dyDescent="0.25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</row>
    <row r="749" spans="1:31" x14ac:dyDescent="0.25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</row>
    <row r="750" spans="1:31" x14ac:dyDescent="0.25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</row>
    <row r="751" spans="1:31" x14ac:dyDescent="0.25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</row>
    <row r="752" spans="1:31" x14ac:dyDescent="0.25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</row>
    <row r="753" spans="1:31" x14ac:dyDescent="0.25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</row>
    <row r="754" spans="1:31" x14ac:dyDescent="0.25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</row>
    <row r="755" spans="1:31" x14ac:dyDescent="0.2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</row>
    <row r="756" spans="1:31" x14ac:dyDescent="0.25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</row>
    <row r="757" spans="1:31" x14ac:dyDescent="0.25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</row>
    <row r="758" spans="1:31" x14ac:dyDescent="0.25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</row>
    <row r="759" spans="1:31" x14ac:dyDescent="0.25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</row>
    <row r="760" spans="1:31" x14ac:dyDescent="0.25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</row>
    <row r="761" spans="1:31" x14ac:dyDescent="0.25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</row>
    <row r="762" spans="1:31" x14ac:dyDescent="0.25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</row>
    <row r="763" spans="1:31" x14ac:dyDescent="0.25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</row>
    <row r="764" spans="1:31" x14ac:dyDescent="0.25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</row>
    <row r="765" spans="1:31" x14ac:dyDescent="0.2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</row>
    <row r="766" spans="1:31" x14ac:dyDescent="0.25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</row>
    <row r="767" spans="1:31" x14ac:dyDescent="0.25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</row>
    <row r="768" spans="1:31" x14ac:dyDescent="0.25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</row>
    <row r="769" spans="1:31" x14ac:dyDescent="0.25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</row>
    <row r="770" spans="1:31" x14ac:dyDescent="0.25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</row>
    <row r="771" spans="1:31" x14ac:dyDescent="0.25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</row>
    <row r="772" spans="1:31" x14ac:dyDescent="0.25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</row>
    <row r="773" spans="1:31" x14ac:dyDescent="0.25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</row>
    <row r="774" spans="1:31" x14ac:dyDescent="0.25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</row>
    <row r="775" spans="1:31" x14ac:dyDescent="0.2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</row>
    <row r="776" spans="1:31" x14ac:dyDescent="0.25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</row>
    <row r="777" spans="1:31" x14ac:dyDescent="0.25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</row>
    <row r="778" spans="1:31" x14ac:dyDescent="0.25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</row>
    <row r="779" spans="1:31" x14ac:dyDescent="0.25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</row>
    <row r="780" spans="1:31" x14ac:dyDescent="0.25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</row>
    <row r="781" spans="1:31" x14ac:dyDescent="0.25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</row>
    <row r="782" spans="1:31" x14ac:dyDescent="0.25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</row>
    <row r="783" spans="1:31" x14ac:dyDescent="0.25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</row>
    <row r="784" spans="1:31" x14ac:dyDescent="0.25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</row>
    <row r="785" spans="1:31" x14ac:dyDescent="0.2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</row>
    <row r="786" spans="1:31" x14ac:dyDescent="0.25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</row>
    <row r="787" spans="1:31" x14ac:dyDescent="0.25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</row>
    <row r="788" spans="1:31" x14ac:dyDescent="0.25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</row>
    <row r="789" spans="1:31" x14ac:dyDescent="0.25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</row>
    <row r="790" spans="1:31" x14ac:dyDescent="0.25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</row>
    <row r="791" spans="1:31" x14ac:dyDescent="0.25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</row>
    <row r="792" spans="1:31" x14ac:dyDescent="0.25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</row>
    <row r="793" spans="1:31" x14ac:dyDescent="0.25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</row>
    <row r="794" spans="1:31" x14ac:dyDescent="0.25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</row>
    <row r="795" spans="1:31" x14ac:dyDescent="0.2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</row>
    <row r="796" spans="1:31" x14ac:dyDescent="0.25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</row>
    <row r="797" spans="1:31" x14ac:dyDescent="0.25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</row>
    <row r="798" spans="1:31" x14ac:dyDescent="0.25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</row>
    <row r="799" spans="1:31" x14ac:dyDescent="0.25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</row>
    <row r="800" spans="1:31" x14ac:dyDescent="0.25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</row>
    <row r="801" spans="1:31" x14ac:dyDescent="0.25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</row>
    <row r="802" spans="1:31" x14ac:dyDescent="0.25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</row>
    <row r="803" spans="1:31" x14ac:dyDescent="0.25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</row>
    <row r="804" spans="1:31" x14ac:dyDescent="0.25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</row>
    <row r="805" spans="1:31" x14ac:dyDescent="0.2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</row>
    <row r="806" spans="1:31" x14ac:dyDescent="0.25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</row>
    <row r="807" spans="1:31" x14ac:dyDescent="0.25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</row>
    <row r="808" spans="1:31" x14ac:dyDescent="0.25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</row>
    <row r="809" spans="1:31" x14ac:dyDescent="0.25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</row>
    <row r="810" spans="1:31" x14ac:dyDescent="0.25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</row>
    <row r="811" spans="1:31" x14ac:dyDescent="0.25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</row>
    <row r="812" spans="1:31" x14ac:dyDescent="0.25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</row>
    <row r="813" spans="1:31" x14ac:dyDescent="0.25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</row>
    <row r="814" spans="1:31" x14ac:dyDescent="0.25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</row>
    <row r="815" spans="1:31" x14ac:dyDescent="0.2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</row>
    <row r="816" spans="1:31" x14ac:dyDescent="0.25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</row>
    <row r="817" spans="1:31" x14ac:dyDescent="0.25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</row>
    <row r="818" spans="1:31" x14ac:dyDescent="0.25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</row>
    <row r="819" spans="1:31" x14ac:dyDescent="0.25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</row>
    <row r="820" spans="1:31" x14ac:dyDescent="0.25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</row>
    <row r="821" spans="1:31" x14ac:dyDescent="0.25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</row>
    <row r="822" spans="1:31" x14ac:dyDescent="0.25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</row>
    <row r="823" spans="1:31" x14ac:dyDescent="0.25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</row>
    <row r="824" spans="1:31" x14ac:dyDescent="0.25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</row>
    <row r="825" spans="1:31" x14ac:dyDescent="0.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</row>
    <row r="826" spans="1:31" x14ac:dyDescent="0.25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</row>
    <row r="827" spans="1:31" x14ac:dyDescent="0.25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</row>
    <row r="828" spans="1:31" x14ac:dyDescent="0.25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</row>
    <row r="829" spans="1:31" x14ac:dyDescent="0.25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</row>
    <row r="830" spans="1:31" x14ac:dyDescent="0.25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</row>
    <row r="831" spans="1:31" x14ac:dyDescent="0.25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</row>
    <row r="832" spans="1:31" x14ac:dyDescent="0.25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</row>
    <row r="833" spans="1:31" x14ac:dyDescent="0.25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</row>
    <row r="834" spans="1:31" x14ac:dyDescent="0.25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</row>
    <row r="835" spans="1:31" x14ac:dyDescent="0.2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</row>
    <row r="836" spans="1:31" x14ac:dyDescent="0.25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</row>
    <row r="837" spans="1:31" x14ac:dyDescent="0.25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</row>
    <row r="838" spans="1:31" x14ac:dyDescent="0.25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</row>
    <row r="839" spans="1:31" x14ac:dyDescent="0.25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</row>
    <row r="840" spans="1:31" x14ac:dyDescent="0.25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</row>
    <row r="841" spans="1:31" x14ac:dyDescent="0.25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</row>
    <row r="842" spans="1:31" x14ac:dyDescent="0.25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</row>
    <row r="843" spans="1:31" x14ac:dyDescent="0.25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</row>
    <row r="844" spans="1:31" x14ac:dyDescent="0.25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</row>
    <row r="845" spans="1:31" x14ac:dyDescent="0.2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</row>
    <row r="846" spans="1:31" x14ac:dyDescent="0.25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</row>
    <row r="847" spans="1:31" x14ac:dyDescent="0.25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</row>
    <row r="848" spans="1:31" x14ac:dyDescent="0.25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</row>
    <row r="849" spans="1:31" x14ac:dyDescent="0.25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</row>
    <row r="850" spans="1:31" x14ac:dyDescent="0.25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</row>
    <row r="851" spans="1:31" x14ac:dyDescent="0.25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</row>
    <row r="852" spans="1:31" x14ac:dyDescent="0.25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</row>
    <row r="853" spans="1:31" x14ac:dyDescent="0.25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</row>
    <row r="854" spans="1:31" x14ac:dyDescent="0.25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</row>
    <row r="855" spans="1:31" x14ac:dyDescent="0.2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</row>
    <row r="856" spans="1:31" x14ac:dyDescent="0.25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</row>
    <row r="857" spans="1:31" x14ac:dyDescent="0.25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</row>
    <row r="858" spans="1:31" x14ac:dyDescent="0.25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</row>
    <row r="859" spans="1:31" x14ac:dyDescent="0.25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</row>
    <row r="860" spans="1:31" x14ac:dyDescent="0.25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</row>
    <row r="861" spans="1:31" x14ac:dyDescent="0.25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</row>
    <row r="862" spans="1:31" x14ac:dyDescent="0.25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</row>
    <row r="863" spans="1:31" x14ac:dyDescent="0.25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</row>
    <row r="864" spans="1:31" x14ac:dyDescent="0.25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</row>
    <row r="865" spans="1:31" x14ac:dyDescent="0.2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</row>
    <row r="866" spans="1:31" x14ac:dyDescent="0.25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</row>
    <row r="867" spans="1:31" x14ac:dyDescent="0.25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</row>
    <row r="868" spans="1:31" x14ac:dyDescent="0.25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</row>
    <row r="869" spans="1:31" x14ac:dyDescent="0.25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</row>
    <row r="870" spans="1:31" x14ac:dyDescent="0.25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</row>
    <row r="871" spans="1:31" x14ac:dyDescent="0.25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</row>
    <row r="872" spans="1:31" x14ac:dyDescent="0.25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</row>
    <row r="873" spans="1:31" x14ac:dyDescent="0.25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</row>
    <row r="874" spans="1:31" x14ac:dyDescent="0.25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</row>
    <row r="875" spans="1:31" x14ac:dyDescent="0.2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</row>
    <row r="876" spans="1:31" x14ac:dyDescent="0.25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</row>
    <row r="877" spans="1:31" x14ac:dyDescent="0.25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</row>
    <row r="878" spans="1:31" x14ac:dyDescent="0.25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</row>
    <row r="879" spans="1:31" x14ac:dyDescent="0.25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</row>
    <row r="880" spans="1:31" x14ac:dyDescent="0.25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</row>
    <row r="881" spans="1:31" x14ac:dyDescent="0.25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</row>
    <row r="882" spans="1:31" x14ac:dyDescent="0.25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</row>
    <row r="883" spans="1:31" x14ac:dyDescent="0.25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</row>
    <row r="884" spans="1:31" x14ac:dyDescent="0.25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</row>
    <row r="885" spans="1:31" x14ac:dyDescent="0.2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</row>
    <row r="886" spans="1:31" x14ac:dyDescent="0.25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</row>
    <row r="887" spans="1:31" x14ac:dyDescent="0.25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</row>
    <row r="888" spans="1:31" x14ac:dyDescent="0.25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</row>
    <row r="889" spans="1:31" x14ac:dyDescent="0.25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</row>
    <row r="890" spans="1:31" x14ac:dyDescent="0.25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</row>
    <row r="891" spans="1:31" x14ac:dyDescent="0.25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</row>
    <row r="892" spans="1:31" x14ac:dyDescent="0.25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</row>
    <row r="893" spans="1:31" x14ac:dyDescent="0.25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</row>
    <row r="894" spans="1:31" x14ac:dyDescent="0.25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</row>
    <row r="895" spans="1:31" x14ac:dyDescent="0.2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</row>
    <row r="896" spans="1:31" x14ac:dyDescent="0.25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</row>
    <row r="897" spans="1:31" x14ac:dyDescent="0.25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</row>
    <row r="898" spans="1:31" x14ac:dyDescent="0.25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</row>
    <row r="899" spans="1:31" x14ac:dyDescent="0.25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</row>
    <row r="900" spans="1:31" x14ac:dyDescent="0.25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</row>
    <row r="901" spans="1:31" x14ac:dyDescent="0.25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</row>
    <row r="902" spans="1:31" x14ac:dyDescent="0.25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</row>
    <row r="903" spans="1:31" x14ac:dyDescent="0.25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</row>
    <row r="904" spans="1:31" x14ac:dyDescent="0.25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</row>
    <row r="905" spans="1:31" x14ac:dyDescent="0.2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</row>
    <row r="906" spans="1:31" x14ac:dyDescent="0.25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</row>
    <row r="907" spans="1:31" x14ac:dyDescent="0.25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</row>
    <row r="908" spans="1:31" x14ac:dyDescent="0.25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</row>
    <row r="909" spans="1:31" x14ac:dyDescent="0.25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</row>
    <row r="910" spans="1:31" x14ac:dyDescent="0.25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</row>
    <row r="911" spans="1:31" x14ac:dyDescent="0.25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</row>
    <row r="912" spans="1:31" x14ac:dyDescent="0.25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</row>
    <row r="913" spans="1:31" x14ac:dyDescent="0.25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</row>
    <row r="914" spans="1:31" x14ac:dyDescent="0.25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</row>
    <row r="915" spans="1:31" x14ac:dyDescent="0.2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</row>
    <row r="916" spans="1:31" x14ac:dyDescent="0.25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</row>
    <row r="917" spans="1:31" x14ac:dyDescent="0.25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</row>
    <row r="918" spans="1:31" x14ac:dyDescent="0.25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</row>
    <row r="919" spans="1:31" x14ac:dyDescent="0.25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</row>
    <row r="920" spans="1:31" x14ac:dyDescent="0.25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</row>
    <row r="921" spans="1:31" x14ac:dyDescent="0.25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</row>
    <row r="922" spans="1:31" x14ac:dyDescent="0.25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</row>
    <row r="923" spans="1:31" x14ac:dyDescent="0.25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</row>
    <row r="924" spans="1:31" x14ac:dyDescent="0.25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</row>
    <row r="925" spans="1:31" x14ac:dyDescent="0.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</row>
    <row r="926" spans="1:31" x14ac:dyDescent="0.25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</row>
    <row r="927" spans="1:31" x14ac:dyDescent="0.25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</row>
    <row r="928" spans="1:31" x14ac:dyDescent="0.25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</row>
    <row r="929" spans="1:31" x14ac:dyDescent="0.25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</row>
    <row r="930" spans="1:31" x14ac:dyDescent="0.25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</row>
    <row r="931" spans="1:31" x14ac:dyDescent="0.25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</row>
    <row r="932" spans="1:31" x14ac:dyDescent="0.25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</row>
    <row r="933" spans="1:31" x14ac:dyDescent="0.25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</row>
    <row r="934" spans="1:31" x14ac:dyDescent="0.25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</row>
    <row r="935" spans="1:31" x14ac:dyDescent="0.2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</row>
    <row r="936" spans="1:31" x14ac:dyDescent="0.25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</row>
    <row r="937" spans="1:31" x14ac:dyDescent="0.25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</row>
    <row r="938" spans="1:31" x14ac:dyDescent="0.25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</row>
    <row r="939" spans="1:31" x14ac:dyDescent="0.25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</row>
    <row r="940" spans="1:31" x14ac:dyDescent="0.25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</row>
    <row r="941" spans="1:31" x14ac:dyDescent="0.25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</row>
    <row r="942" spans="1:31" x14ac:dyDescent="0.25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</row>
    <row r="943" spans="1:31" x14ac:dyDescent="0.25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</row>
    <row r="944" spans="1:31" x14ac:dyDescent="0.25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</row>
    <row r="945" spans="1:31" x14ac:dyDescent="0.2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</row>
    <row r="946" spans="1:31" x14ac:dyDescent="0.25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</row>
    <row r="947" spans="1:31" x14ac:dyDescent="0.25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</row>
    <row r="948" spans="1:31" x14ac:dyDescent="0.25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</row>
    <row r="949" spans="1:31" x14ac:dyDescent="0.25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</row>
    <row r="950" spans="1:31" x14ac:dyDescent="0.25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</row>
    <row r="951" spans="1:31" x14ac:dyDescent="0.25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</row>
    <row r="952" spans="1:31" x14ac:dyDescent="0.25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</row>
    <row r="953" spans="1:31" x14ac:dyDescent="0.25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</row>
    <row r="954" spans="1:31" x14ac:dyDescent="0.25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</row>
    <row r="955" spans="1:31" x14ac:dyDescent="0.2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</row>
    <row r="956" spans="1:31" x14ac:dyDescent="0.25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</row>
    <row r="957" spans="1:31" x14ac:dyDescent="0.25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</row>
    <row r="958" spans="1:31" x14ac:dyDescent="0.25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</row>
    <row r="959" spans="1:31" x14ac:dyDescent="0.25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</row>
    <row r="960" spans="1:31" x14ac:dyDescent="0.25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</row>
    <row r="961" spans="1:31" x14ac:dyDescent="0.25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</row>
    <row r="962" spans="1:31" x14ac:dyDescent="0.25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</row>
    <row r="963" spans="1:31" x14ac:dyDescent="0.25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</row>
    <row r="964" spans="1:31" x14ac:dyDescent="0.25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</row>
    <row r="965" spans="1:31" x14ac:dyDescent="0.2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</row>
    <row r="966" spans="1:31" x14ac:dyDescent="0.25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</row>
    <row r="967" spans="1:31" x14ac:dyDescent="0.25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</row>
    <row r="968" spans="1:31" x14ac:dyDescent="0.25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</row>
    <row r="969" spans="1:31" x14ac:dyDescent="0.25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</row>
    <row r="970" spans="1:31" x14ac:dyDescent="0.25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</row>
    <row r="971" spans="1:31" x14ac:dyDescent="0.25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</row>
    <row r="972" spans="1:31" x14ac:dyDescent="0.25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</row>
    <row r="973" spans="1:31" x14ac:dyDescent="0.25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</row>
    <row r="974" spans="1:31" x14ac:dyDescent="0.25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</row>
    <row r="975" spans="1:31" x14ac:dyDescent="0.2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</row>
    <row r="976" spans="1:31" x14ac:dyDescent="0.25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</row>
    <row r="977" spans="1:31" x14ac:dyDescent="0.25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</row>
    <row r="978" spans="1:31" x14ac:dyDescent="0.25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</row>
    <row r="979" spans="1:31" x14ac:dyDescent="0.25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</row>
    <row r="980" spans="1:31" x14ac:dyDescent="0.25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</row>
    <row r="981" spans="1:31" x14ac:dyDescent="0.25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</row>
    <row r="982" spans="1:31" x14ac:dyDescent="0.25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</row>
    <row r="983" spans="1:31" x14ac:dyDescent="0.25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</row>
    <row r="984" spans="1:31" x14ac:dyDescent="0.25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</row>
    <row r="985" spans="1:31" x14ac:dyDescent="0.2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</row>
    <row r="986" spans="1:31" x14ac:dyDescent="0.25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</row>
    <row r="987" spans="1:31" x14ac:dyDescent="0.25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</row>
    <row r="988" spans="1:31" x14ac:dyDescent="0.25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</row>
    <row r="989" spans="1:31" x14ac:dyDescent="0.25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</row>
    <row r="990" spans="1:31" x14ac:dyDescent="0.25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</row>
    <row r="991" spans="1:31" x14ac:dyDescent="0.25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</row>
    <row r="992" spans="1:31" x14ac:dyDescent="0.25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</row>
    <row r="993" spans="1:31" x14ac:dyDescent="0.25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</row>
    <row r="994" spans="1:31" x14ac:dyDescent="0.25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</row>
    <row r="995" spans="1:31" x14ac:dyDescent="0.2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</row>
    <row r="996" spans="1:31" x14ac:dyDescent="0.25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</row>
    <row r="997" spans="1:31" x14ac:dyDescent="0.25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</row>
    <row r="998" spans="1:31" x14ac:dyDescent="0.25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</row>
    <row r="999" spans="1:31" x14ac:dyDescent="0.25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</row>
    <row r="1000" spans="1:31" x14ac:dyDescent="0.25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</row>
  </sheetData>
  <mergeCells count="7">
    <mergeCell ref="R2:S2"/>
    <mergeCell ref="B2:B3"/>
    <mergeCell ref="C2:D2"/>
    <mergeCell ref="F2:G2"/>
    <mergeCell ref="I2:J2"/>
    <mergeCell ref="L2:M2"/>
    <mergeCell ref="O2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6"/>
  <sheetViews>
    <sheetView workbookViewId="0">
      <selection activeCell="AE13" sqref="AE13"/>
    </sheetView>
  </sheetViews>
  <sheetFormatPr baseColWidth="10" defaultRowHeight="15" x14ac:dyDescent="0.25"/>
  <cols>
    <col min="1" max="1" width="22" customWidth="1"/>
    <col min="3" max="3" width="28" customWidth="1"/>
    <col min="4" max="5" width="24" customWidth="1"/>
    <col min="7" max="9" width="23" customWidth="1"/>
    <col min="12" max="12" width="28" customWidth="1"/>
    <col min="13" max="15" width="24" customWidth="1"/>
    <col min="16" max="18" width="23" customWidth="1"/>
    <col min="21" max="21" width="28" customWidth="1"/>
    <col min="22" max="23" width="24" customWidth="1"/>
    <col min="25" max="27" width="23" customWidth="1"/>
    <col min="30" max="30" width="28" customWidth="1"/>
    <col min="31" max="31" width="24" customWidth="1"/>
    <col min="34" max="36" width="23" customWidth="1"/>
  </cols>
  <sheetData>
    <row r="1" spans="1:36" ht="15" customHeight="1" x14ac:dyDescent="0.25">
      <c r="A1" s="63"/>
      <c r="B1" s="87" t="s">
        <v>0</v>
      </c>
      <c r="C1" s="88"/>
      <c r="D1" s="88"/>
      <c r="E1" s="88"/>
      <c r="F1" s="88"/>
      <c r="G1" s="89"/>
      <c r="H1" s="89"/>
      <c r="I1" s="89"/>
      <c r="J1" s="81"/>
      <c r="K1" s="88"/>
      <c r="L1" s="88"/>
      <c r="M1" s="88"/>
      <c r="N1" s="88"/>
      <c r="O1" s="88"/>
      <c r="P1" s="89"/>
      <c r="Q1" s="89"/>
      <c r="R1" s="89"/>
      <c r="S1" s="81"/>
      <c r="T1" s="88"/>
      <c r="U1" s="88"/>
      <c r="V1" s="88"/>
      <c r="W1" s="88"/>
      <c r="X1" s="88"/>
      <c r="Y1" s="89"/>
      <c r="Z1" s="89"/>
      <c r="AA1" s="89"/>
      <c r="AB1" s="88"/>
      <c r="AC1" s="88"/>
      <c r="AD1" s="88"/>
      <c r="AE1" s="88"/>
      <c r="AF1" s="90"/>
      <c r="AG1" s="91"/>
      <c r="AH1" s="89"/>
      <c r="AI1" s="89"/>
      <c r="AJ1" s="89"/>
    </row>
    <row r="2" spans="1:36" x14ac:dyDescent="0.25">
      <c r="A2" s="64"/>
      <c r="B2" s="66" t="s">
        <v>380</v>
      </c>
      <c r="C2" s="67"/>
      <c r="D2" s="67"/>
      <c r="E2" s="67"/>
      <c r="F2" s="67"/>
      <c r="G2" s="69"/>
      <c r="H2" s="69"/>
      <c r="I2" s="69"/>
      <c r="J2" s="3"/>
      <c r="K2" s="66" t="s">
        <v>381</v>
      </c>
      <c r="L2" s="67"/>
      <c r="M2" s="67"/>
      <c r="N2" s="68"/>
      <c r="O2" s="68"/>
      <c r="P2" s="69"/>
      <c r="Q2" s="69"/>
      <c r="R2" s="69"/>
      <c r="S2" s="3"/>
      <c r="T2" s="66" t="s">
        <v>382</v>
      </c>
      <c r="U2" s="67"/>
      <c r="V2" s="67"/>
      <c r="W2" s="67"/>
      <c r="X2" s="67"/>
      <c r="Y2" s="69"/>
      <c r="Z2" s="69"/>
      <c r="AA2" s="69"/>
      <c r="AB2" s="33"/>
      <c r="AC2" s="66" t="s">
        <v>5</v>
      </c>
      <c r="AD2" s="67"/>
      <c r="AE2" s="67"/>
      <c r="AF2" s="92"/>
      <c r="AG2" s="92"/>
      <c r="AH2" s="69"/>
      <c r="AI2" s="69"/>
      <c r="AJ2" s="69"/>
    </row>
    <row r="3" spans="1:36" x14ac:dyDescent="0.25">
      <c r="A3" s="65"/>
      <c r="B3" s="5" t="s">
        <v>767</v>
      </c>
      <c r="C3" s="5" t="s">
        <v>7</v>
      </c>
      <c r="D3" s="5" t="s">
        <v>8</v>
      </c>
      <c r="E3" s="5" t="s">
        <v>730</v>
      </c>
      <c r="F3" s="5" t="s">
        <v>755</v>
      </c>
      <c r="G3" s="47" t="s">
        <v>756</v>
      </c>
      <c r="H3" s="47" t="s">
        <v>757</v>
      </c>
      <c r="I3" s="47" t="s">
        <v>758</v>
      </c>
      <c r="J3" s="5"/>
      <c r="K3" s="5" t="s">
        <v>767</v>
      </c>
      <c r="L3" s="5" t="s">
        <v>7</v>
      </c>
      <c r="M3" s="5" t="s">
        <v>8</v>
      </c>
      <c r="N3" s="47" t="s">
        <v>730</v>
      </c>
      <c r="O3" s="47" t="s">
        <v>755</v>
      </c>
      <c r="P3" s="47" t="s">
        <v>756</v>
      </c>
      <c r="Q3" s="47" t="s">
        <v>757</v>
      </c>
      <c r="R3" s="47" t="s">
        <v>758</v>
      </c>
      <c r="S3" s="5"/>
      <c r="T3" s="5" t="s">
        <v>767</v>
      </c>
      <c r="U3" s="5" t="s">
        <v>7</v>
      </c>
      <c r="V3" s="5" t="s">
        <v>8</v>
      </c>
      <c r="W3" s="5" t="s">
        <v>730</v>
      </c>
      <c r="X3" s="5" t="s">
        <v>755</v>
      </c>
      <c r="Y3" s="47" t="s">
        <v>756</v>
      </c>
      <c r="Z3" s="47" t="s">
        <v>757</v>
      </c>
      <c r="AA3" s="47" t="s">
        <v>758</v>
      </c>
      <c r="AB3" s="5"/>
      <c r="AC3" s="5" t="s">
        <v>767</v>
      </c>
      <c r="AD3" s="5" t="s">
        <v>7</v>
      </c>
      <c r="AE3" s="5" t="s">
        <v>8</v>
      </c>
      <c r="AF3" s="5" t="s">
        <v>730</v>
      </c>
      <c r="AG3" s="5" t="s">
        <v>755</v>
      </c>
      <c r="AH3" s="47" t="s">
        <v>756</v>
      </c>
      <c r="AI3" s="47" t="s">
        <v>757</v>
      </c>
      <c r="AJ3" s="47" t="s">
        <v>758</v>
      </c>
    </row>
    <row r="4" spans="1:36" x14ac:dyDescent="0.25">
      <c r="A4" s="34" t="s">
        <v>383</v>
      </c>
      <c r="B4" s="29"/>
      <c r="C4" s="29"/>
      <c r="D4" s="29"/>
      <c r="E4" s="29"/>
      <c r="F4" s="29"/>
      <c r="J4" s="29"/>
      <c r="K4" s="29"/>
      <c r="L4" s="29"/>
      <c r="M4" s="29"/>
      <c r="N4" s="29"/>
      <c r="O4" s="29"/>
      <c r="S4" s="29"/>
      <c r="T4" s="29"/>
      <c r="U4" s="29"/>
      <c r="V4" s="29"/>
      <c r="W4" s="29"/>
      <c r="X4" s="29"/>
      <c r="AB4" s="29"/>
      <c r="AC4" s="29"/>
      <c r="AD4" s="29"/>
      <c r="AE4" s="29"/>
      <c r="AF4" s="29"/>
      <c r="AG4" s="29"/>
    </row>
    <row r="5" spans="1:36" x14ac:dyDescent="0.25">
      <c r="A5" s="3" t="s">
        <v>14</v>
      </c>
      <c r="B5" s="1" t="s">
        <v>15</v>
      </c>
      <c r="C5" s="1" t="s">
        <v>384</v>
      </c>
      <c r="D5" s="9" t="str">
        <f>ROUND((MIN('[1]Citoquinas todos los datos'!E52,'[1]Citoquinas todos los datos'!E56,'[1]Citoquinas todos los datos'!E60)+MEDIAN('[1]Citoquinas todos los datos'!E52,'[1]Citoquinas todos los datos'!E56,'[1]Citoquinas todos los datos'!E60))/2,3)&amp;" - "&amp;ROUND((MEDIAN('[1]Citoquinas todos los datos'!E52,'[1]Citoquinas todos los datos'!E56,'[1]Citoquinas todos los datos'!E60)+MAX('[1]Citoquinas todos los datos'!E52,'[1]Citoquinas todos los datos'!E56,'[1]Citoquinas todos los datos'!E60))/2,3)</f>
        <v>3,025 - 7,435</v>
      </c>
      <c r="E5" s="39">
        <v>1</v>
      </c>
      <c r="F5" s="40">
        <v>0</v>
      </c>
      <c r="G5" s="40">
        <v>0</v>
      </c>
      <c r="H5" s="40">
        <v>0</v>
      </c>
      <c r="I5" s="40">
        <v>0</v>
      </c>
      <c r="J5" s="1"/>
      <c r="K5" s="1" t="s">
        <v>17</v>
      </c>
      <c r="L5" s="1" t="s">
        <v>385</v>
      </c>
      <c r="M5" s="9" t="str">
        <f>ROUND((3*MIN('[1]Citoquinas todos los datos'!E54,'[1]Citoquinas todos los datos'!E58)+MAX('[1]Citoquinas todos los datos'!E54,'[1]Citoquinas todos los datos'!E58))/4,3)&amp;" - "&amp;ROUND((MIN('[1]Citoquinas todos los datos'!E54,'[1]Citoquinas todos los datos'!E58)+3*MAX('[1]Citoquinas todos los datos'!E54,'[1]Citoquinas todos los datos'!E58))/4,3)</f>
        <v>9,735 - 24,625</v>
      </c>
      <c r="N5" s="39">
        <v>1</v>
      </c>
      <c r="O5" s="39">
        <v>0</v>
      </c>
      <c r="P5" s="39">
        <v>0</v>
      </c>
      <c r="Q5" s="39">
        <v>0</v>
      </c>
      <c r="R5" s="39">
        <v>0</v>
      </c>
      <c r="S5" s="9"/>
      <c r="T5" s="1" t="s">
        <v>15</v>
      </c>
      <c r="U5" s="1" t="s">
        <v>386</v>
      </c>
      <c r="V5" s="9" t="str">
        <f>ROUND((MIN('[1]Citoquinas todos los datos'!E51,'[1]Citoquinas todos los datos'!E55,'[1]Citoquinas todos los datos'!E59)+MEDIAN('[1]Citoquinas todos los datos'!E51,'[1]Citoquinas todos los datos'!E55,'[1]Citoquinas todos los datos'!E59))/2,3)&amp;" - "&amp;ROUND((MEDIAN('[1]Citoquinas todos los datos'!E51,'[1]Citoquinas todos los datos'!E55,'[1]Citoquinas todos los datos'!E59)+MAX('[1]Citoquinas todos los datos'!E51,'[1]Citoquinas todos los datos'!E55,'[1]Citoquinas todos los datos'!E59))/2,3)</f>
        <v>3,4 - 6,12</v>
      </c>
      <c r="W5" s="39">
        <v>1</v>
      </c>
      <c r="X5" s="39">
        <v>0</v>
      </c>
      <c r="Y5" s="39">
        <v>0</v>
      </c>
      <c r="Z5" s="39">
        <v>0</v>
      </c>
      <c r="AA5" s="39">
        <v>0</v>
      </c>
      <c r="AB5" s="9"/>
      <c r="AC5" s="1" t="s">
        <v>15</v>
      </c>
      <c r="AD5" s="1" t="s">
        <v>387</v>
      </c>
      <c r="AE5" s="9" t="str">
        <f>ROUND((MIN('[1]Citoquinas todos los datos'!E53,'[1]Citoquinas todos los datos'!E57,'[1]Citoquinas todos los datos'!E61)+MEDIAN('[1]Citoquinas todos los datos'!E53,'[1]Citoquinas todos los datos'!E57,'[1]Citoquinas todos los datos'!E61))/2,3)&amp;" - "&amp;ROUND((MEDIAN('[1]Citoquinas todos los datos'!E53,'[1]Citoquinas todos los datos'!E57,'[1]Citoquinas todos los datos'!E61)+MAX('[1]Citoquinas todos los datos'!E53,'[1]Citoquinas todos los datos'!E57,'[1]Citoquinas todos los datos'!E61))/2,3)</f>
        <v>13,285 - 33,645</v>
      </c>
      <c r="AF5" s="39">
        <v>1</v>
      </c>
      <c r="AG5" s="45">
        <v>0</v>
      </c>
      <c r="AH5" s="45">
        <v>0</v>
      </c>
      <c r="AI5" s="45">
        <v>0</v>
      </c>
      <c r="AJ5" s="45">
        <v>0</v>
      </c>
    </row>
    <row r="6" spans="1:36" x14ac:dyDescent="0.25">
      <c r="A6" s="3" t="s">
        <v>25</v>
      </c>
      <c r="B6" s="1" t="s">
        <v>15</v>
      </c>
      <c r="C6" s="1" t="s">
        <v>388</v>
      </c>
      <c r="D6" s="9" t="str">
        <f>ROUND((MIN('[1]Citoquinas todos los datos'!E76,'[1]Citoquinas todos los datos'!E80,'[1]Citoquinas todos los datos'!E84)+MEDIAN('[1]Citoquinas todos los datos'!E76,'[1]Citoquinas todos los datos'!E80,'[1]Citoquinas todos los datos'!E84))/2,3)&amp;" - "&amp;ROUND((MEDIAN('[1]Citoquinas todos los datos'!E76,'[1]Citoquinas todos los datos'!E80,'[1]Citoquinas todos los datos'!E84)+MAX('[1]Citoquinas todos los datos'!E76,'[1]Citoquinas todos los datos'!E80,'[1]Citoquinas todos los datos'!E84))/2,3)</f>
        <v>2,62 - 6,22</v>
      </c>
      <c r="E6" s="39">
        <v>0.9385579937304076</v>
      </c>
      <c r="F6" s="40">
        <v>-9.1482202593814885E-2</v>
      </c>
      <c r="G6" s="40">
        <v>-6.1442006269592397</v>
      </c>
      <c r="H6" s="40">
        <v>-0.32666666666666622</v>
      </c>
      <c r="I6" s="40">
        <v>-3.1694695989650669E-2</v>
      </c>
      <c r="J6" s="1"/>
      <c r="K6" s="1" t="s">
        <v>17</v>
      </c>
      <c r="L6" s="1" t="s">
        <v>389</v>
      </c>
      <c r="M6" s="9" t="str">
        <f>ROUND((3*MIN('[1]Citoquinas todos los datos'!E74,'[1]Citoquinas todos los datos'!E78)+MAX('[1]Citoquinas todos los datos'!E74,'[1]Citoquinas todos los datos'!E78))/4,3)&amp;" - "&amp;ROUND((MIN('[1]Citoquinas todos los datos'!E74,'[1]Citoquinas todos los datos'!E78)+3*MAX('[1]Citoquinas todos los datos'!E74,'[1]Citoquinas todos los datos'!E78))/4,3)</f>
        <v>4,825 - 8,095</v>
      </c>
      <c r="N6" s="39">
        <v>0.37601862630966243</v>
      </c>
      <c r="O6" s="39">
        <v>-1.4111239664445385</v>
      </c>
      <c r="P6" s="39">
        <v>-62.398137369033755</v>
      </c>
      <c r="Q6" s="39">
        <v>-10.719999999999999</v>
      </c>
      <c r="R6" s="39">
        <v>-0.45346869712351939</v>
      </c>
      <c r="S6" s="9"/>
      <c r="T6" s="1" t="s">
        <v>15</v>
      </c>
      <c r="U6" s="1" t="s">
        <v>390</v>
      </c>
      <c r="V6" s="9" t="str">
        <f>ROUND((MIN('[1]Citoquinas todos los datos'!E75,'[1]Citoquinas todos los datos'!E79,'[1]Citoquinas todos los datos'!E83)+MEDIAN('[1]Citoquinas todos los datos'!E75,'[1]Citoquinas todos los datos'!E79,'[1]Citoquinas todos los datos'!E83))/2,3)&amp;" - "&amp;ROUND((MEDIAN('[1]Citoquinas todos los datos'!E75,'[1]Citoquinas todos los datos'!E79,'[1]Citoquinas todos los datos'!E83)+MAX('[1]Citoquinas todos los datos'!E75,'[1]Citoquinas todos los datos'!E79,'[1]Citoquinas todos los datos'!E83))/2,3)</f>
        <v>2,82 - 7,47</v>
      </c>
      <c r="W6" s="39">
        <v>1.1257406188281764</v>
      </c>
      <c r="X6" s="39">
        <v>0.17087445527117678</v>
      </c>
      <c r="Y6" s="39">
        <v>12.574061882817645</v>
      </c>
      <c r="Z6" s="39">
        <v>0.63666666666666671</v>
      </c>
      <c r="AA6" s="39">
        <v>5.915144007432642E-2</v>
      </c>
      <c r="AB6" s="9"/>
      <c r="AC6" s="1" t="s">
        <v>17</v>
      </c>
      <c r="AD6" s="1" t="s">
        <v>391</v>
      </c>
      <c r="AE6" s="9" t="str">
        <f>ROUND((3*MIN('[1]Citoquinas todos los datos'!E77,'[1]Citoquinas todos los datos'!E81)+MAX('[1]Citoquinas todos los datos'!E77,'[1]Citoquinas todos los datos'!E81))/4,3)&amp;" - "&amp;ROUND((MIN('[1]Citoquinas todos los datos'!E77,'[1]Citoquinas todos los datos'!E81)+3*MAX('[1]Citoquinas todos los datos'!E77,'[1]Citoquinas todos los datos'!E81))/4,3)</f>
        <v>10,375 - 15,245</v>
      </c>
      <c r="AF6" s="39">
        <v>0.5328618968386023</v>
      </c>
      <c r="AG6" s="45">
        <v>-0.90816642036953898</v>
      </c>
      <c r="AH6" s="45">
        <v>-46.713810316139771</v>
      </c>
      <c r="AI6" s="45">
        <v>-11.230000000000002</v>
      </c>
      <c r="AJ6" s="45">
        <v>-0.30474898236092268</v>
      </c>
    </row>
    <row r="7" spans="1:36" x14ac:dyDescent="0.25">
      <c r="A7" s="3" t="s">
        <v>35</v>
      </c>
      <c r="B7" s="1" t="s">
        <v>15</v>
      </c>
      <c r="C7" s="1" t="s">
        <v>392</v>
      </c>
      <c r="D7" s="9" t="str">
        <f>ROUND((MIN('[1]Citoquinas todos los datos'!E4,'[1]Citoquinas todos los datos'!E8,'[1]Citoquinas todos los datos'!E12)+MEDIAN('[1]Citoquinas todos los datos'!E4,'[1]Citoquinas todos los datos'!E8,'[1]Citoquinas todos los datos'!E12))/2,3)&amp;" - "&amp;ROUND((MEDIAN('[1]Citoquinas todos los datos'!E4,'[1]Citoquinas todos los datos'!E8,'[1]Citoquinas todos los datos'!E12)+MAX('[1]Citoquinas todos los datos'!E4,'[1]Citoquinas todos los datos'!E8,'[1]Citoquinas todos los datos'!E12))/2,3)</f>
        <v>2,47 - 8,58</v>
      </c>
      <c r="E7" s="39">
        <v>1.1749216300940439</v>
      </c>
      <c r="F7" s="40">
        <v>0.23256452900695518</v>
      </c>
      <c r="G7" s="40">
        <v>17.492163009404393</v>
      </c>
      <c r="H7" s="40">
        <v>0.9300000000000006</v>
      </c>
      <c r="I7" s="40">
        <v>8.0426635918132081E-2</v>
      </c>
      <c r="J7" s="1"/>
      <c r="K7" s="1" t="s">
        <v>17</v>
      </c>
      <c r="L7" s="1" t="s">
        <v>393</v>
      </c>
      <c r="M7" s="9" t="str">
        <f>ROUND((3*MIN('[1]Citoquinas todos los datos'!E2,'[1]Citoquinas todos los datos'!E10)+MAX('[1]Citoquinas todos los datos'!E2,'[1]Citoquinas todos los datos'!E10))/4,3)&amp;" - "&amp;ROUND((MIN('[1]Citoquinas todos los datos'!E2,'[1]Citoquinas todos los datos'!E10)+3*MAX('[1]Citoquinas todos los datos'!E2,'[1]Citoquinas todos los datos'!E10))/4,3)</f>
        <v>5,678 - 5,953</v>
      </c>
      <c r="N7" s="39">
        <v>0.33847497089639111</v>
      </c>
      <c r="O7" s="39">
        <v>-1.5628789396652454</v>
      </c>
      <c r="P7" s="39">
        <v>-66.152502910360894</v>
      </c>
      <c r="Q7" s="39">
        <v>-11.365</v>
      </c>
      <c r="R7" s="39">
        <v>-0.49423787779952172</v>
      </c>
      <c r="S7" s="9"/>
      <c r="T7" s="1" t="s">
        <v>15</v>
      </c>
      <c r="U7" s="1" t="s">
        <v>394</v>
      </c>
      <c r="V7" s="9" t="str">
        <f>ROUND((MIN('[1]Citoquinas todos los datos'!E3,'[1]Citoquinas todos los datos'!E7,'[1]Citoquinas todos los datos'!E11)+MEDIAN('[1]Citoquinas todos los datos'!E3,'[1]Citoquinas todos los datos'!E7,'[1]Citoquinas todos los datos'!E11))/2,3)&amp;" - "&amp;ROUND((MEDIAN('[1]Citoquinas todos los datos'!E3,'[1]Citoquinas todos los datos'!E7,'[1]Citoquinas todos los datos'!E11)+MAX('[1]Citoquinas todos los datos'!E3,'[1]Citoquinas todos los datos'!E7,'[1]Citoquinas todos los datos'!E11))/2,3)</f>
        <v>3,105 - 4,72</v>
      </c>
      <c r="W7" s="39">
        <v>0.77287689269256088</v>
      </c>
      <c r="X7" s="39">
        <v>-0.3716894613920313</v>
      </c>
      <c r="Y7" s="39">
        <v>-22.712310730743912</v>
      </c>
      <c r="Z7" s="39">
        <v>-1.1499999999999999</v>
      </c>
      <c r="AA7" s="39">
        <v>-0.12810991459339027</v>
      </c>
      <c r="AB7" s="9"/>
      <c r="AC7" s="1" t="s">
        <v>15</v>
      </c>
      <c r="AD7" s="1" t="s">
        <v>395</v>
      </c>
      <c r="AE7" s="9" t="str">
        <f>ROUND((MIN('[1]Citoquinas todos los datos'!E5,'[1]Citoquinas todos los datos'!E9,'[1]Citoquinas todos los datos'!E13)+MEDIAN('[1]Citoquinas todos los datos'!E5,'[1]Citoquinas todos los datos'!E9,'[1]Citoquinas todos los datos'!E13))/2,3)&amp;" - "&amp;ROUND((MEDIAN('[1]Citoquinas todos los datos'!E5,'[1]Citoquinas todos los datos'!E9,'[1]Citoquinas todos los datos'!E13)+MAX('[1]Citoquinas todos los datos'!E5,'[1]Citoquinas todos los datos'!E9,'[1]Citoquinas todos los datos'!E13))/2,3)</f>
        <v>6,895 - 7,435</v>
      </c>
      <c r="AF7" s="39">
        <v>0.30019412090959507</v>
      </c>
      <c r="AG7" s="45">
        <v>-1.7360323718182546</v>
      </c>
      <c r="AH7" s="45">
        <v>-69.980587909040494</v>
      </c>
      <c r="AI7" s="45">
        <v>-16.823333333333338</v>
      </c>
      <c r="AJ7" s="45">
        <v>-0.53823184387330714</v>
      </c>
    </row>
    <row r="8" spans="1:36" x14ac:dyDescent="0.25">
      <c r="A8" s="3" t="s">
        <v>42</v>
      </c>
      <c r="B8" s="1" t="s">
        <v>15</v>
      </c>
      <c r="C8" s="1" t="s">
        <v>396</v>
      </c>
      <c r="D8" s="9" t="str">
        <f>ROUND((MIN('[1]Citoquinas todos los datos'!E16,'[1]Citoquinas todos los datos'!E20,'[1]Citoquinas todos los datos'!E24)+MEDIAN('[1]Citoquinas todos los datos'!E16,'[1]Citoquinas todos los datos'!E20,'[1]Citoquinas todos los datos'!E24))/2,3)&amp;" - "&amp;ROUND((MEDIAN('[1]Citoquinas todos los datos'!E16,'[1]Citoquinas todos los datos'!E20,'[1]Citoquinas todos los datos'!E24)+MAX('[1]Citoquinas todos los datos'!E16,'[1]Citoquinas todos los datos'!E20,'[1]Citoquinas todos los datos'!E24))/2,3)</f>
        <v>3,715 - 10,66</v>
      </c>
      <c r="E8" s="39">
        <v>1.3981191222570535</v>
      </c>
      <c r="F8" s="40">
        <v>0.48348728615543557</v>
      </c>
      <c r="G8" s="40">
        <v>39.811912225705349</v>
      </c>
      <c r="H8" s="40">
        <v>2.1166666666666671</v>
      </c>
      <c r="I8" s="40">
        <v>0.16601307189542489</v>
      </c>
      <c r="J8" s="1"/>
      <c r="K8" s="1" t="s">
        <v>15</v>
      </c>
      <c r="L8" s="1" t="s">
        <v>397</v>
      </c>
      <c r="M8" s="9" t="str">
        <f>ROUND((MIN('[1]Citoquinas todos los datos'!E14,'[1]Citoquinas todos los datos'!E18,'[1]Citoquinas todos los datos'!E22)+MEDIAN('[1]Citoquinas todos los datos'!E14,'[1]Citoquinas todos los datos'!E18,'[1]Citoquinas todos los datos'!E22))/2,3)&amp;" - "&amp;ROUND((MEDIAN('[1]Citoquinas todos los datos'!E14,'[1]Citoquinas todos los datos'!E18,'[1]Citoquinas todos los datos'!E22)+MAX('[1]Citoquinas todos los datos'!E14,'[1]Citoquinas todos los datos'!E18,'[1]Citoquinas todos los datos'!E22))/2,3)</f>
        <v>8,2 - 13,945</v>
      </c>
      <c r="N8" s="39">
        <v>0.68897943344974777</v>
      </c>
      <c r="O8" s="39">
        <v>-0.53746717683864809</v>
      </c>
      <c r="P8" s="39">
        <v>-31.102056655025223</v>
      </c>
      <c r="Q8" s="39">
        <v>-5.3433333333333337</v>
      </c>
      <c r="R8" s="39">
        <v>-0.18414704192992534</v>
      </c>
      <c r="S8" s="9"/>
      <c r="T8" s="1" t="s">
        <v>15</v>
      </c>
      <c r="U8" s="1" t="s">
        <v>398</v>
      </c>
      <c r="V8" s="9" t="str">
        <f>ROUND((MIN('[1]Citoquinas todos los datos'!E15,'[1]Citoquinas todos los datos'!E19,'[1]Citoquinas todos los datos'!E23)+MEDIAN('[1]Citoquinas todos los datos'!E15,'[1]Citoquinas todos los datos'!E19,'[1]Citoquinas todos los datos'!E23))/2,3)&amp;" - "&amp;ROUND((MEDIAN('[1]Citoquinas todos los datos'!E15,'[1]Citoquinas todos los datos'!E19,'[1]Citoquinas todos los datos'!E23)+MAX('[1]Citoquinas todos los datos'!E15,'[1]Citoquinas todos los datos'!E19,'[1]Citoquinas todos los datos'!E23))/2,3)</f>
        <v>6,53 - 10,55</v>
      </c>
      <c r="W8" s="39">
        <v>1.6273864384463463</v>
      </c>
      <c r="X8" s="39">
        <v>0.70255687340229123</v>
      </c>
      <c r="Y8" s="39">
        <v>62.738643844634638</v>
      </c>
      <c r="Z8" s="39">
        <v>3.1766666666666667</v>
      </c>
      <c r="AA8" s="39">
        <v>0.23878727136056124</v>
      </c>
      <c r="AB8" s="9"/>
      <c r="AC8" s="1" t="s">
        <v>15</v>
      </c>
      <c r="AD8" s="1" t="s">
        <v>399</v>
      </c>
      <c r="AE8" s="9" t="str">
        <f>ROUND((MIN('[1]Citoquinas todos los datos'!E17,'[1]Citoquinas todos los datos'!E21,'[1]Citoquinas todos los datos'!E25)+MEDIAN('[1]Citoquinas todos los datos'!E17,'[1]Citoquinas todos los datos'!E21,'[1]Citoquinas todos los datos'!E25))/2,3)&amp;" - "&amp;ROUND((MEDIAN('[1]Citoquinas todos los datos'!E17,'[1]Citoquinas todos los datos'!E21,'[1]Citoquinas todos los datos'!E25)+MAX('[1]Citoquinas todos los datos'!E17,'[1]Citoquinas todos los datos'!E21,'[1]Citoquinas todos los datos'!E25))/2,3)</f>
        <v>7,105 - 9,605</v>
      </c>
      <c r="AF8" s="39">
        <v>0.35122018857459786</v>
      </c>
      <c r="AG8" s="45">
        <v>-1.5095523197198408</v>
      </c>
      <c r="AH8" s="45">
        <v>-64.877981142540222</v>
      </c>
      <c r="AI8" s="45">
        <v>-15.596666666666669</v>
      </c>
      <c r="AJ8" s="45">
        <v>-0.48014366341713705</v>
      </c>
    </row>
    <row r="9" spans="1:36" x14ac:dyDescent="0.25">
      <c r="A9" s="3" t="s">
        <v>48</v>
      </c>
      <c r="B9" s="1" t="s">
        <v>15</v>
      </c>
      <c r="C9" s="1" t="s">
        <v>400</v>
      </c>
      <c r="D9" s="9" t="str">
        <f>ROUND((MIN('[1]Citoquinas todos los datos'!E28,'[1]Citoquinas todos los datos'!E32,'[1]Citoquinas todos los datos'!E36)+MEDIAN('[1]Citoquinas todos los datos'!E28,'[1]Citoquinas todos los datos'!E32,'[1]Citoquinas todos los datos'!E36))/2,3)&amp;" - "&amp;ROUND((MEDIAN('[1]Citoquinas todos los datos'!E28,'[1]Citoquinas todos los datos'!E32,'[1]Citoquinas todos los datos'!E36)+MAX('[1]Citoquinas todos los datos'!E28,'[1]Citoquinas todos los datos'!E32,'[1]Citoquinas todos los datos'!E36))/2,3)</f>
        <v>6,66 - 9,235</v>
      </c>
      <c r="E9" s="39">
        <v>1.4175548589341693</v>
      </c>
      <c r="F9" s="40">
        <v>0.50340456809929734</v>
      </c>
      <c r="G9" s="40">
        <v>41.755485893416932</v>
      </c>
      <c r="H9" s="40">
        <v>2.2199999999999998</v>
      </c>
      <c r="I9" s="40">
        <v>0.17271784232365145</v>
      </c>
      <c r="J9" s="1"/>
      <c r="K9" s="1" t="s">
        <v>15</v>
      </c>
      <c r="L9" s="1" t="s">
        <v>401</v>
      </c>
      <c r="M9" s="9" t="str">
        <f>ROUND((MIN('[1]Citoquinas todos los datos'!E26,'[1]Citoquinas todos los datos'!E30,'[1]Citoquinas todos los datos'!E34)+MEDIAN('[1]Citoquinas todos los datos'!E26,'[1]Citoquinas todos los datos'!E30,'[1]Citoquinas todos los datos'!E34))/2,3)&amp;" - "&amp;ROUND((MEDIAN('[1]Citoquinas todos los datos'!E26,'[1]Citoquinas todos los datos'!E30,'[1]Citoquinas todos los datos'!E34)+MAX('[1]Citoquinas todos los datos'!E26,'[1]Citoquinas todos los datos'!E30,'[1]Citoquinas todos los datos'!E34))/2,3)</f>
        <v>6,8 - 11,32</v>
      </c>
      <c r="N9" s="39">
        <v>0.52289483896003097</v>
      </c>
      <c r="O9" s="39">
        <v>-0.93540726421975207</v>
      </c>
      <c r="P9" s="39">
        <v>-47.710516103996902</v>
      </c>
      <c r="Q9" s="39">
        <v>-8.1966666666666672</v>
      </c>
      <c r="R9" s="39">
        <v>-0.3132883169830552</v>
      </c>
      <c r="S9" s="9"/>
      <c r="T9" s="1" t="s">
        <v>15</v>
      </c>
      <c r="U9" s="1" t="s">
        <v>402</v>
      </c>
      <c r="V9" s="9" t="str">
        <f>ROUND((MIN('[1]Citoquinas todos los datos'!E27,'[1]Citoquinas todos los datos'!E31,'[1]Citoquinas todos los datos'!E35)+MEDIAN('[1]Citoquinas todos los datos'!E27,'[1]Citoquinas todos los datos'!E31,'[1]Citoquinas todos los datos'!E35))/2,3)&amp;" - "&amp;ROUND((MEDIAN('[1]Citoquinas todos los datos'!E27,'[1]Citoquinas todos los datos'!E31,'[1]Citoquinas todos los datos'!E35)+MAX('[1]Citoquinas todos los datos'!E27,'[1]Citoquinas todos los datos'!E31,'[1]Citoquinas todos los datos'!E35))/2,3)</f>
        <v>4,615 - 8,27</v>
      </c>
      <c r="W9" s="39">
        <v>1.161290322580645</v>
      </c>
      <c r="X9" s="39">
        <v>0.21572869105543699</v>
      </c>
      <c r="Y9" s="39">
        <v>16.129032258064502</v>
      </c>
      <c r="Z9" s="39">
        <v>0.81666666666666643</v>
      </c>
      <c r="AA9" s="39">
        <v>7.4626865671641771E-2</v>
      </c>
      <c r="AB9" s="9"/>
      <c r="AC9" s="1" t="s">
        <v>15</v>
      </c>
      <c r="AD9" s="1" t="s">
        <v>403</v>
      </c>
      <c r="AE9" s="9" t="str">
        <f>ROUND((MIN('[1]Citoquinas todos los datos'!E29,'[1]Citoquinas todos los datos'!E33,'[1]Citoquinas todos los datos'!E37)+MEDIAN('[1]Citoquinas todos los datos'!E29,'[1]Citoquinas todos los datos'!E33,'[1]Citoquinas todos los datos'!E37))/2,3)&amp;" - "&amp;ROUND((MEDIAN('[1]Citoquinas todos los datos'!E29,'[1]Citoquinas todos los datos'!E33,'[1]Citoquinas todos los datos'!E37)+MAX('[1]Citoquinas todos los datos'!E29,'[1]Citoquinas todos los datos'!E33,'[1]Citoquinas todos los datos'!E37))/2,3)</f>
        <v>5,475 - 6,69</v>
      </c>
      <c r="AF9" s="39">
        <v>0.25402107598447027</v>
      </c>
      <c r="AG9" s="45">
        <v>-1.9769798933353979</v>
      </c>
      <c r="AH9" s="45">
        <v>-74.597892401552969</v>
      </c>
      <c r="AI9" s="45">
        <v>-17.933333333333337</v>
      </c>
      <c r="AJ9" s="45">
        <v>-0.5948695267580717</v>
      </c>
    </row>
    <row r="10" spans="1:36" x14ac:dyDescent="0.25">
      <c r="A10" s="3" t="s">
        <v>54</v>
      </c>
      <c r="B10" s="1" t="s">
        <v>15</v>
      </c>
      <c r="C10" s="1" t="s">
        <v>404</v>
      </c>
      <c r="D10" s="9" t="str">
        <f>ROUND((MIN('[1]Citoquinas todos los datos'!E40,'[1]Citoquinas todos los datos'!E44,'[1]Citoquinas todos los datos'!E48)+MEDIAN('[1]Citoquinas todos los datos'!E40,'[1]Citoquinas todos los datos'!E44,'[1]Citoquinas todos los datos'!E48))/2,3)&amp;" - "&amp;ROUND((MEDIAN('[1]Citoquinas todos los datos'!E40,'[1]Citoquinas todos los datos'!E44,'[1]Citoquinas todos los datos'!E48)+MAX('[1]Citoquinas todos los datos'!E40,'[1]Citoquinas todos los datos'!E44,'[1]Citoquinas todos los datos'!E48))/2,3)</f>
        <v>3,29 - 19,92</v>
      </c>
      <c r="E10" s="39">
        <v>2.549843260188088</v>
      </c>
      <c r="F10" s="40">
        <v>1.3504085668099013</v>
      </c>
      <c r="G10" s="40">
        <v>154.98432601880882</v>
      </c>
      <c r="H10" s="40">
        <v>8.24</v>
      </c>
      <c r="I10" s="40">
        <v>0.43659484281172728</v>
      </c>
      <c r="J10" s="1"/>
      <c r="K10" s="1" t="s">
        <v>15</v>
      </c>
      <c r="L10" s="1" t="s">
        <v>405</v>
      </c>
      <c r="M10" s="9" t="str">
        <f>ROUND((MIN('[1]Citoquinas todos los datos'!E38,'[1]Citoquinas todos los datos'!E42,'[1]Citoquinas todos los datos'!E46)+MEDIAN('[1]Citoquinas todos los datos'!E38,'[1]Citoquinas todos los datos'!E42,'[1]Citoquinas todos los datos'!E46))/2,3)&amp;" - "&amp;ROUND((MEDIAN('[1]Citoquinas todos los datos'!E38,'[1]Citoquinas todos los datos'!E42,'[1]Citoquinas todos los datos'!E46)+MAX('[1]Citoquinas todos los datos'!E38,'[1]Citoquinas todos los datos'!E42,'[1]Citoquinas todos los datos'!E46))/2,3)</f>
        <v>7,12 - 11,735</v>
      </c>
      <c r="N10" s="39">
        <v>0.56538610787737675</v>
      </c>
      <c r="O10" s="39">
        <v>-0.82269165979510728</v>
      </c>
      <c r="P10" s="39">
        <v>-43.461389212262326</v>
      </c>
      <c r="Q10" s="39">
        <v>-7.4666666666666668</v>
      </c>
      <c r="R10" s="39">
        <v>-0.27764005949429849</v>
      </c>
      <c r="S10" s="9"/>
      <c r="T10" s="1" t="s">
        <v>15</v>
      </c>
      <c r="U10" s="1" t="s">
        <v>406</v>
      </c>
      <c r="V10" s="9" t="str">
        <f>ROUND((3*MIN('[1]Citoquinas todos los datos'!E39,'[1]Citoquinas todos los datos'!E47)+MAX('[1]Citoquinas todos los datos'!E39,'[1]Citoquinas todos los datos'!E47))/4,3)&amp;" - "&amp;ROUND((MIN('[1]Citoquinas todos los datos'!E39,'[1]Citoquinas todos los datos'!E47)+3*MAX('[1]Citoquinas todos los datos'!E39,'[1]Citoquinas todos los datos'!E47))/4,3)</f>
        <v>6,405 - 16,095</v>
      </c>
      <c r="W10" s="39">
        <v>2.2218564845292956</v>
      </c>
      <c r="X10" s="39">
        <v>1.1517656323234722</v>
      </c>
      <c r="Y10" s="39">
        <v>122.18564845292957</v>
      </c>
      <c r="Z10" s="39">
        <v>6.1866666666666665</v>
      </c>
      <c r="AA10" s="39">
        <v>0.37923988557417249</v>
      </c>
      <c r="AB10" s="9"/>
      <c r="AC10" s="1" t="s">
        <v>17</v>
      </c>
      <c r="AD10" s="1" t="s">
        <v>407</v>
      </c>
      <c r="AE10" s="9" t="str">
        <f>ROUND((MIN('[1]Citoquinas todos los datos'!E41,'[1]Citoquinas todos los datos'!E45,'[1]Citoquinas todos los datos'!E49)+MEDIAN('[1]Citoquinas todos los datos'!E41,'[1]Citoquinas todos los datos'!E45,'[1]Citoquinas todos los datos'!E49))/2,3)&amp;" - "&amp;ROUND((MEDIAN('[1]Citoquinas todos los datos'!E41,'[1]Citoquinas todos los datos'!E45,'[1]Citoquinas todos los datos'!E49)+MAX('[1]Citoquinas todos los datos'!E41,'[1]Citoquinas todos los datos'!E45,'[1]Citoquinas todos los datos'!E49))/2,3)</f>
        <v>6,075 - 7,415</v>
      </c>
      <c r="AF10" s="39">
        <v>0.28272323904603436</v>
      </c>
      <c r="AG10" s="45">
        <v>-1.8225376214157452</v>
      </c>
      <c r="AH10" s="45">
        <v>-71.727676095396561</v>
      </c>
      <c r="AI10" s="45">
        <v>-17.243333333333336</v>
      </c>
      <c r="AJ10" s="45">
        <v>-0.55918279104961632</v>
      </c>
    </row>
    <row r="11" spans="1:36" x14ac:dyDescent="0.25">
      <c r="A11" s="3" t="s">
        <v>59</v>
      </c>
      <c r="B11" s="1" t="s">
        <v>17</v>
      </c>
      <c r="C11" s="1" t="s">
        <v>408</v>
      </c>
      <c r="D11" s="9" t="str">
        <f>ROUND((3*MIN('[1]Citoquinas todos los datos'!E63,'[1]Citoquinas todos los datos'!E66)+MAX('[1]Citoquinas todos los datos'!E63,'[1]Citoquinas todos los datos'!E66))/4,3)&amp;" - "&amp;ROUND((MIN('[1]Citoquinas todos los datos'!E63,'[1]Citoquinas todos los datos'!E66)+3*MAX('[1]Citoquinas todos los datos'!E63,'[1]Citoquinas todos los datos'!E66))/4,3)</f>
        <v>7,193 - 9,318</v>
      </c>
      <c r="E11" s="39">
        <v>1.552664576802508</v>
      </c>
      <c r="F11" s="40">
        <v>0.6347461969821826</v>
      </c>
      <c r="G11" s="40">
        <v>55.266457680250802</v>
      </c>
      <c r="H11" s="40">
        <v>2.9383333333333344</v>
      </c>
      <c r="I11" s="40">
        <v>0.2165049735969545</v>
      </c>
      <c r="J11" s="1"/>
      <c r="K11" s="1" t="s">
        <v>17</v>
      </c>
      <c r="L11" s="1" t="s">
        <v>409</v>
      </c>
      <c r="M11" s="9" t="str">
        <f>ROUND((3*MIN('[1]Citoquinas todos los datos'!E62,'[1]Citoquinas todos los datos'!E65)+MAX('[1]Citoquinas todos los datos'!E62,'[1]Citoquinas todos los datos'!E65))/4,3)&amp;" - "&amp;ROUND((MIN('[1]Citoquinas todos los datos'!E62,'[1]Citoquinas todos los datos'!E65)+3*MAX('[1]Citoquinas todos los datos'!E62,'[1]Citoquinas todos los datos'!E65))/4,3)</f>
        <v>6,83 - 9,81</v>
      </c>
      <c r="N11" s="39" t="s">
        <v>731</v>
      </c>
      <c r="O11" s="39" t="s">
        <v>731</v>
      </c>
      <c r="P11" s="39" t="s">
        <v>731</v>
      </c>
      <c r="Q11" s="39" t="s">
        <v>731</v>
      </c>
      <c r="R11" s="39" t="s">
        <v>731</v>
      </c>
      <c r="S11" s="9"/>
      <c r="T11" s="1" t="s">
        <v>17</v>
      </c>
      <c r="U11" s="1" t="s">
        <v>409</v>
      </c>
      <c r="V11" s="9" t="str">
        <f>ROUND((3*MIN('[1]Citoquinas todos los datos'!E62,'[1]Citoquinas todos los datos'!E65)+MAX('[1]Citoquinas todos los datos'!E62,'[1]Citoquinas todos los datos'!E65))/4,3)&amp;" - "&amp;ROUND((MIN('[1]Citoquinas todos los datos'!E62,'[1]Citoquinas todos los datos'!E65)+3*MAX('[1]Citoquinas todos los datos'!E62,'[1]Citoquinas todos los datos'!E65))/4,3)</f>
        <v>6,83 - 9,81</v>
      </c>
      <c r="W11" s="39">
        <v>1.6431863067807768</v>
      </c>
      <c r="X11" s="39">
        <v>0.71649606436016489</v>
      </c>
      <c r="Y11" s="39">
        <v>64.318630678077682</v>
      </c>
      <c r="Z11" s="39">
        <v>3.2566666666666668</v>
      </c>
      <c r="AA11" s="39">
        <v>0.24333748443337486</v>
      </c>
      <c r="AB11" s="9"/>
      <c r="AC11" s="1" t="s">
        <v>17</v>
      </c>
      <c r="AD11" s="1" t="s">
        <v>410</v>
      </c>
      <c r="AE11" s="9" t="str">
        <f>ROUND((3*MIN('[1]Citoquinas todos los datos'!E64,'[1]Citoquinas todos los datos'!E67)+MAX('[1]Citoquinas todos los datos'!E64,'[1]Citoquinas todos los datos'!E67))/4,3)&amp;" - "&amp;ROUND((MIN('[1]Citoquinas todos los datos'!E64,'[1]Citoquinas todos los datos'!E67)+3*MAX('[1]Citoquinas todos los datos'!E64,'[1]Citoquinas todos los datos'!E67))/4,3)</f>
        <v>17,923 - 18,248</v>
      </c>
      <c r="AF11" s="39">
        <v>0.75228785357737105</v>
      </c>
      <c r="AG11" s="45">
        <v>-0.41064329805541122</v>
      </c>
      <c r="AH11" s="45">
        <v>-24.771214642262894</v>
      </c>
      <c r="AI11" s="45">
        <v>-5.9550000000000018</v>
      </c>
      <c r="AJ11" s="45">
        <v>-0.14136498516320478</v>
      </c>
    </row>
    <row r="12" spans="1:36" x14ac:dyDescent="0.25">
      <c r="A12" s="3" t="s">
        <v>64</v>
      </c>
      <c r="B12" s="1" t="s">
        <v>17</v>
      </c>
      <c r="C12" s="1" t="s">
        <v>411</v>
      </c>
      <c r="D12" s="9" t="str">
        <f>ROUND((3*MIN('[1]Citoquinas todos los datos'!E69,'[1]Citoquinas todos los datos'!E72)+MAX('[1]Citoquinas todos los datos'!E69,'[1]Citoquinas todos los datos'!E72))/4,3)&amp;" - "&amp;ROUND((MIN('[1]Citoquinas todos los datos'!E69,'[1]Citoquinas todos los datos'!E72)+3*MAX('[1]Citoquinas todos los datos'!E69,'[1]Citoquinas todos los datos'!E72))/4,3)</f>
        <v>4,365 - 8,395</v>
      </c>
      <c r="E12" s="39">
        <v>1.2</v>
      </c>
      <c r="F12" s="40">
        <v>0.26303440583379378</v>
      </c>
      <c r="G12" s="40">
        <v>19.999999999999996</v>
      </c>
      <c r="H12" s="40">
        <v>1.0633333333333335</v>
      </c>
      <c r="I12" s="40">
        <v>9.0909090909090925E-2</v>
      </c>
      <c r="J12" s="1"/>
      <c r="K12" s="1" t="s">
        <v>17</v>
      </c>
      <c r="L12" s="1" t="s">
        <v>412</v>
      </c>
      <c r="M12" s="9" t="str">
        <f>ROUND((3*MIN('[1]Citoquinas todos los datos'!E68,'[1]Citoquinas todos los datos'!E71)+MAX('[1]Citoquinas todos los datos'!E68,'[1]Citoquinas todos los datos'!E71))/4,3)&amp;" - "&amp;ROUND((MIN('[1]Citoquinas todos los datos'!E68,'[1]Citoquinas todos los datos'!E71)+3*MAX('[1]Citoquinas todos los datos'!E68,'[1]Citoquinas todos los datos'!E71))/4,3)</f>
        <v>9,54 - 10,6</v>
      </c>
      <c r="N12" s="39" t="s">
        <v>731</v>
      </c>
      <c r="O12" s="39" t="s">
        <v>731</v>
      </c>
      <c r="P12" s="39" t="s">
        <v>731</v>
      </c>
      <c r="Q12" s="39" t="s">
        <v>731</v>
      </c>
      <c r="R12" s="39" t="s">
        <v>731</v>
      </c>
      <c r="S12" s="9"/>
      <c r="T12" s="1" t="s">
        <v>17</v>
      </c>
      <c r="U12" s="1" t="s">
        <v>412</v>
      </c>
      <c r="V12" s="9" t="str">
        <f>ROUND((3*MIN('[1]Citoquinas todos los datos'!E68,'[1]Citoquinas todos los datos'!E71)+MAX('[1]Citoquinas todos los datos'!E68,'[1]Citoquinas todos los datos'!E71))/4,3)&amp;" - "&amp;ROUND((MIN('[1]Citoquinas todos los datos'!E68,'[1]Citoquinas todos los datos'!E71)+3*MAX('[1]Citoquinas todos los datos'!E68,'[1]Citoquinas todos los datos'!E71))/4,3)</f>
        <v>9,54 - 10,6</v>
      </c>
      <c r="W12" s="39">
        <v>1.988808426596445</v>
      </c>
      <c r="X12" s="39">
        <v>0.99190431422585734</v>
      </c>
      <c r="Y12" s="39">
        <v>98.8808426596445</v>
      </c>
      <c r="Z12" s="39">
        <v>5.0066666666666668</v>
      </c>
      <c r="AA12" s="39">
        <v>0.33083700440528635</v>
      </c>
      <c r="AB12" s="9"/>
      <c r="AC12" s="1" t="s">
        <v>17</v>
      </c>
      <c r="AD12" s="1" t="s">
        <v>413</v>
      </c>
      <c r="AE12" s="9" t="str">
        <f>ROUND((3*MIN('[1]Citoquinas todos los datos'!E70,'[1]Citoquinas todos los datos'!E73)+MAX('[1]Citoquinas todos los datos'!E70,'[1]Citoquinas todos los datos'!E73))/4,3)&amp;" - "&amp;ROUND((MIN('[1]Citoquinas todos los datos'!E70,'[1]Citoquinas todos los datos'!E73)+3*MAX('[1]Citoquinas todos los datos'!E70,'[1]Citoquinas todos los datos'!E73))/4,3)</f>
        <v>8,815 - 9,125</v>
      </c>
      <c r="AF12" s="39">
        <v>0.37312811980033267</v>
      </c>
      <c r="AG12" s="45">
        <v>-1.4222570057919246</v>
      </c>
      <c r="AH12" s="45">
        <v>-62.687188019966733</v>
      </c>
      <c r="AI12" s="45">
        <v>-15.070000000000004</v>
      </c>
      <c r="AJ12" s="45">
        <v>-0.45652832475007576</v>
      </c>
    </row>
    <row r="13" spans="1:36" x14ac:dyDescent="0.25">
      <c r="A13" s="35" t="s">
        <v>414</v>
      </c>
      <c r="B13" s="1"/>
      <c r="C13" s="1"/>
      <c r="D13" s="9"/>
      <c r="E13" s="9"/>
      <c r="F13" s="1"/>
      <c r="J13" s="1"/>
      <c r="K13" s="1"/>
      <c r="L13" s="1"/>
      <c r="M13" s="9"/>
      <c r="N13" s="9"/>
      <c r="O13" s="9"/>
      <c r="S13" s="9"/>
      <c r="T13" s="1"/>
      <c r="U13" s="1"/>
      <c r="V13" s="9"/>
      <c r="W13" s="9"/>
      <c r="X13" s="9"/>
      <c r="AB13" s="9"/>
      <c r="AC13" s="1"/>
      <c r="AD13" s="1"/>
      <c r="AE13" s="9"/>
      <c r="AF13" s="9"/>
      <c r="AG13" s="29"/>
    </row>
    <row r="14" spans="1:36" x14ac:dyDescent="0.25">
      <c r="A14" s="3" t="s">
        <v>14</v>
      </c>
      <c r="B14" s="1" t="s">
        <v>17</v>
      </c>
      <c r="C14" s="1" t="s">
        <v>415</v>
      </c>
      <c r="D14" s="9" t="str">
        <f>ROUND((3*MIN('[1]Citoquinas todos los datos'!F52,'[1]Citoquinas todos los datos'!F56)+MAX('[1]Citoquinas todos los datos'!F52,'[1]Citoquinas todos los datos'!F56))/4,3)&amp;" - "&amp;ROUND((MIN('[1]Citoquinas todos los datos'!F52,'[1]Citoquinas todos los datos'!F56)+3*MAX('[1]Citoquinas todos los datos'!F52,'[1]Citoquinas todos los datos'!F56))/4,3)</f>
        <v>60,993 - 95,238</v>
      </c>
      <c r="E14" s="39">
        <v>1</v>
      </c>
      <c r="F14" s="40">
        <v>0</v>
      </c>
      <c r="G14" s="40">
        <v>0</v>
      </c>
      <c r="H14" s="40">
        <v>0</v>
      </c>
      <c r="I14" s="40">
        <v>0</v>
      </c>
      <c r="J14" s="1"/>
      <c r="K14" s="1" t="s">
        <v>72</v>
      </c>
      <c r="L14" s="1" t="s">
        <v>416</v>
      </c>
      <c r="M14" s="9" t="str">
        <f>ROUND('[1]Citoquinas todos los datos'!F54,3)&amp;" - "&amp;ROUND('[1]Citoquinas todos los datos'!F54,3)</f>
        <v>10,25 - 10,25</v>
      </c>
      <c r="N14" s="39">
        <v>1</v>
      </c>
      <c r="O14" s="39">
        <v>0</v>
      </c>
      <c r="P14" s="39">
        <v>0</v>
      </c>
      <c r="Q14" s="39">
        <v>0</v>
      </c>
      <c r="R14" s="39">
        <v>0</v>
      </c>
      <c r="S14" s="9"/>
      <c r="T14" s="1" t="s">
        <v>15</v>
      </c>
      <c r="U14" s="1" t="s">
        <v>417</v>
      </c>
      <c r="V14" s="9" t="str">
        <f>ROUND((MIN('[1]Citoquinas todos los datos'!F51,'[1]Citoquinas todos los datos'!F55,'[1]Citoquinas todos los datos'!F59)+MEDIAN('[1]Citoquinas todos los datos'!F51,'[1]Citoquinas todos los datos'!F55,'[1]Citoquinas todos los datos'!F59))/2,3)&amp;" - "&amp;ROUND((MEDIAN('[1]Citoquinas todos los datos'!F51,'[1]Citoquinas todos los datos'!F55,'[1]Citoquinas todos los datos'!F59)+MAX('[1]Citoquinas todos los datos'!F51,'[1]Citoquinas todos los datos'!F55,'[1]Citoquinas todos los datos'!F59))/2,3)</f>
        <v>8,565 - 24,79</v>
      </c>
      <c r="W14" s="39">
        <v>1</v>
      </c>
      <c r="X14" s="39">
        <v>0</v>
      </c>
      <c r="Y14" s="39">
        <v>0</v>
      </c>
      <c r="Z14" s="39">
        <v>0</v>
      </c>
      <c r="AA14" s="39">
        <v>0</v>
      </c>
      <c r="AB14" s="9"/>
      <c r="AC14" s="1" t="s">
        <v>17</v>
      </c>
      <c r="AD14" s="1" t="s">
        <v>418</v>
      </c>
      <c r="AE14" s="9" t="str">
        <f>ROUND((3*MIN('[1]Citoquinas todos los datos'!F53,'[1]Citoquinas todos los datos'!F61)+MAX('[1]Citoquinas todos los datos'!F53,'[1]Citoquinas todos los datos'!F61))/4,3)&amp;" - "&amp;ROUND((MIN('[1]Citoquinas todos los datos'!F53,'[1]Citoquinas todos los datos'!F61)+3*MAX('[1]Citoquinas todos los datos'!F53,'[1]Citoquinas todos los datos'!F61))/4,3)</f>
        <v>25,555 - 38,965</v>
      </c>
      <c r="AF14" s="39">
        <v>1</v>
      </c>
      <c r="AG14" s="45">
        <v>0</v>
      </c>
      <c r="AH14" s="45">
        <v>0</v>
      </c>
      <c r="AI14" s="45">
        <v>0</v>
      </c>
      <c r="AJ14" s="45">
        <v>0</v>
      </c>
    </row>
    <row r="15" spans="1:36" x14ac:dyDescent="0.25">
      <c r="A15" s="3" t="s">
        <v>25</v>
      </c>
      <c r="B15" s="1" t="s">
        <v>15</v>
      </c>
      <c r="C15" s="1" t="s">
        <v>419</v>
      </c>
      <c r="D15" s="9" t="str">
        <f>ROUND((MIN('[1]Citoquinas todos los datos'!F76,'[1]Citoquinas todos los datos'!F80,'[1]Citoquinas todos los datos'!F84)+MEDIAN('[1]Citoquinas todos los datos'!F76,'[1]Citoquinas todos los datos'!F80,'[1]Citoquinas todos los datos'!F84))/2,3)&amp;" - "&amp;ROUND((MEDIAN('[1]Citoquinas todos los datos'!F76,'[1]Citoquinas todos los datos'!F80,'[1]Citoquinas todos los datos'!F84)+MAX('[1]Citoquinas todos los datos'!F76,'[1]Citoquinas todos los datos'!F80,'[1]Citoquinas todos los datos'!F84))/2,3)</f>
        <v>34,895 - 63,09</v>
      </c>
      <c r="E15" s="39">
        <v>0.56860611491604263</v>
      </c>
      <c r="F15" s="40">
        <v>-0.81449848072662945</v>
      </c>
      <c r="G15" s="40">
        <v>-43.13938850839574</v>
      </c>
      <c r="H15" s="40">
        <v>-33.698333333333331</v>
      </c>
      <c r="I15" s="40">
        <v>-0.2750173424556917</v>
      </c>
      <c r="J15" s="1"/>
      <c r="K15" s="1" t="s">
        <v>15</v>
      </c>
      <c r="L15" s="1" t="s">
        <v>420</v>
      </c>
      <c r="M15" s="9" t="str">
        <f>ROUND((MIN('[1]Citoquinas todos los datos'!F74,'[1]Citoquinas todos los datos'!F78,'[1]Citoquinas todos los datos'!F82)+MEDIAN('[1]Citoquinas todos los datos'!F74,'[1]Citoquinas todos los datos'!F78,'[1]Citoquinas todos los datos'!F82))/2,3)&amp;" - "&amp;ROUND((MEDIAN('[1]Citoquinas todos los datos'!F74,'[1]Citoquinas todos los datos'!F78,'[1]Citoquinas todos los datos'!F82)+MAX('[1]Citoquinas todos los datos'!F74,'[1]Citoquinas todos los datos'!F78,'[1]Citoquinas todos los datos'!F82))/2,3)</f>
        <v>56,57 - 78,045</v>
      </c>
      <c r="N15" s="39" t="s">
        <v>731</v>
      </c>
      <c r="O15" s="39" t="s">
        <v>731</v>
      </c>
      <c r="P15" s="39" t="s">
        <v>731</v>
      </c>
      <c r="Q15" s="39" t="s">
        <v>731</v>
      </c>
      <c r="R15" s="39" t="s">
        <v>731</v>
      </c>
      <c r="S15" s="9"/>
      <c r="T15" s="1" t="s">
        <v>15</v>
      </c>
      <c r="U15" s="1" t="s">
        <v>421</v>
      </c>
      <c r="V15" s="9" t="str">
        <f>ROUND((MIN('[1]Citoquinas todos los datos'!F75,'[1]Citoquinas todos los datos'!F79,'[1]Citoquinas todos los datos'!F83)+MEDIAN('[1]Citoquinas todos los datos'!F75,'[1]Citoquinas todos los datos'!F79,'[1]Citoquinas todos los datos'!F83))/2,3)&amp;" - "&amp;ROUND((MEDIAN('[1]Citoquinas todos los datos'!F75,'[1]Citoquinas todos los datos'!F79,'[1]Citoquinas todos los datos'!F83)+MAX('[1]Citoquinas todos los datos'!F75,'[1]Citoquinas todos los datos'!F79,'[1]Citoquinas todos los datos'!F83))/2,3)</f>
        <v>31,54 - 49,84</v>
      </c>
      <c r="W15" s="39">
        <v>2.4210921373616068</v>
      </c>
      <c r="X15" s="39">
        <v>1.2756579837504443</v>
      </c>
      <c r="Y15" s="39">
        <v>142.10921373616068</v>
      </c>
      <c r="Z15" s="39">
        <v>25.243333333333336</v>
      </c>
      <c r="AA15" s="39">
        <v>0.41539136635401247</v>
      </c>
      <c r="AB15" s="9"/>
      <c r="AC15" s="1" t="s">
        <v>17</v>
      </c>
      <c r="AD15" s="1" t="s">
        <v>422</v>
      </c>
      <c r="AE15" s="9" t="str">
        <f>ROUND((3*MIN('[1]Citoquinas todos los datos'!F77,'[1]Citoquinas todos los datos'!F85)+MAX('[1]Citoquinas todos los datos'!F77,'[1]Citoquinas todos los datos'!F85))/4,3)&amp;" - "&amp;ROUND((MIN('[1]Citoquinas todos los datos'!F77,'[1]Citoquinas todos los datos'!F85)+3*MAX('[1]Citoquinas todos los datos'!F77,'[1]Citoquinas todos los datos'!F85))/4,3)</f>
        <v>31,415 - 50,905</v>
      </c>
      <c r="AF15" s="39">
        <v>1.2758834469931801</v>
      </c>
      <c r="AG15" s="45">
        <v>0.35149654373832551</v>
      </c>
      <c r="AH15" s="45">
        <v>27.588344699318014</v>
      </c>
      <c r="AI15" s="45">
        <v>8.8999999999999915</v>
      </c>
      <c r="AJ15" s="45">
        <v>0.12122037591936791</v>
      </c>
    </row>
    <row r="16" spans="1:36" x14ac:dyDescent="0.25">
      <c r="A16" s="3" t="s">
        <v>35</v>
      </c>
      <c r="B16" s="1" t="s">
        <v>15</v>
      </c>
      <c r="C16" s="1" t="s">
        <v>423</v>
      </c>
      <c r="D16" s="9" t="str">
        <f>ROUND((MIN('[1]Citoquinas todos los datos'!F4,'[1]Citoquinas todos los datos'!F8,'[1]Citoquinas todos los datos'!F12)+MEDIAN('[1]Citoquinas todos los datos'!F4,'[1]Citoquinas todos los datos'!F8,'[1]Citoquinas todos los datos'!F12))/2,3)&amp;" - "&amp;ROUND((MEDIAN('[1]Citoquinas todos los datos'!F4,'[1]Citoquinas todos los datos'!F8,'[1]Citoquinas todos los datos'!F12)+MAX('[1]Citoquinas todos los datos'!F4,'[1]Citoquinas todos los datos'!F8,'[1]Citoquinas todos los datos'!F12))/2,3)</f>
        <v>76,45 - 151,185</v>
      </c>
      <c r="E16" s="39">
        <v>1.5054300283769659</v>
      </c>
      <c r="F16" s="40">
        <v>0.59017565388821847</v>
      </c>
      <c r="G16" s="40">
        <v>50.543002837696591</v>
      </c>
      <c r="H16" s="40">
        <v>39.481666666666683</v>
      </c>
      <c r="I16" s="40">
        <v>0.20173384315361892</v>
      </c>
      <c r="J16" s="1"/>
      <c r="K16" s="1" t="s">
        <v>17</v>
      </c>
      <c r="L16" s="1" t="s">
        <v>424</v>
      </c>
      <c r="M16" s="9" t="str">
        <f>ROUND((3*MIN('[1]Citoquinas todos los datos'!F2,'[1]Citoquinas todos los datos'!F10)+MAX('[1]Citoquinas todos los datos'!F2,'[1]Citoquinas todos los datos'!F10))/4,3)&amp;" - "&amp;ROUND((MIN('[1]Citoquinas todos los datos'!F2,'[1]Citoquinas todos los datos'!F10)+3*MAX('[1]Citoquinas todos los datos'!F2,'[1]Citoquinas todos los datos'!F10))/4,3)</f>
        <v>16,623 - 40,028</v>
      </c>
      <c r="N16" s="39" t="s">
        <v>731</v>
      </c>
      <c r="O16" s="39" t="s">
        <v>731</v>
      </c>
      <c r="P16" s="39" t="s">
        <v>731</v>
      </c>
      <c r="Q16" s="39" t="s">
        <v>731</v>
      </c>
      <c r="R16" s="39" t="s">
        <v>731</v>
      </c>
      <c r="S16" s="9"/>
      <c r="T16" s="1" t="s">
        <v>15</v>
      </c>
      <c r="U16" s="1" t="s">
        <v>425</v>
      </c>
      <c r="V16" s="9" t="str">
        <f>ROUND((MIN('[1]Citoquinas todos los datos'!F3,'[1]Citoquinas todos los datos'!F7,'[1]Citoquinas todos los datos'!F11)+MEDIAN('[1]Citoquinas todos los datos'!F3,'[1]Citoquinas todos los datos'!F7,'[1]Citoquinas todos los datos'!F11))/2,3)&amp;" - "&amp;ROUND((MEDIAN('[1]Citoquinas todos los datos'!F3,'[1]Citoquinas todos los datos'!F7,'[1]Citoquinas todos los datos'!F11)+MAX('[1]Citoquinas todos los datos'!F3,'[1]Citoquinas todos los datos'!F7,'[1]Citoquinas todos los datos'!F11))/2,3)</f>
        <v>42,355 - 84,91</v>
      </c>
      <c r="W16" s="39">
        <v>3.3670482266841812</v>
      </c>
      <c r="X16" s="39">
        <v>1.7514843852284721</v>
      </c>
      <c r="Y16" s="39">
        <v>236.70482266841813</v>
      </c>
      <c r="Z16" s="39">
        <v>42.046666666666667</v>
      </c>
      <c r="AA16" s="39">
        <v>0.54202475077346168</v>
      </c>
      <c r="AB16" s="9"/>
      <c r="AC16" s="1" t="s">
        <v>15</v>
      </c>
      <c r="AD16" s="1" t="s">
        <v>426</v>
      </c>
      <c r="AE16" s="9" t="str">
        <f>ROUND((MIN('[1]Citoquinas todos los datos'!F5,'[1]Citoquinas todos los datos'!F9,'[1]Citoquinas todos los datos'!F13)+MEDIAN('[1]Citoquinas todos los datos'!F5,'[1]Citoquinas todos los datos'!F9,'[1]Citoquinas todos los datos'!F13))/2,3)&amp;" - "&amp;ROUND((MEDIAN('[1]Citoquinas todos los datos'!F5,'[1]Citoquinas todos los datos'!F9,'[1]Citoquinas todos los datos'!F13)+MAX('[1]Citoquinas todos los datos'!F5,'[1]Citoquinas todos los datos'!F9,'[1]Citoquinas todos los datos'!F13))/2,3)</f>
        <v>13,145 - 27,665</v>
      </c>
      <c r="AF16" s="39">
        <v>0.68919198181442431</v>
      </c>
      <c r="AG16" s="45">
        <v>-0.53702217780485184</v>
      </c>
      <c r="AH16" s="45">
        <v>-31.080801818557568</v>
      </c>
      <c r="AI16" s="45">
        <v>-10.026666666666674</v>
      </c>
      <c r="AJ16" s="45">
        <v>-0.18399804257401528</v>
      </c>
    </row>
    <row r="17" spans="1:36" x14ac:dyDescent="0.25">
      <c r="A17" s="3" t="s">
        <v>42</v>
      </c>
      <c r="B17" s="1" t="s">
        <v>15</v>
      </c>
      <c r="C17" s="1" t="s">
        <v>427</v>
      </c>
      <c r="D17" s="9" t="str">
        <f>ROUND((MIN('[1]Citoquinas todos los datos'!F16,'[1]Citoquinas todos los datos'!F20,'[1]Citoquinas todos los datos'!F24)+MEDIAN('[1]Citoquinas todos los datos'!F16,'[1]Citoquinas todos los datos'!F20,'[1]Citoquinas todos los datos'!F24))/2,3)&amp;" - "&amp;ROUND((MEDIAN('[1]Citoquinas todos los datos'!F16,'[1]Citoquinas todos los datos'!F20,'[1]Citoquinas todos los datos'!F24)+MAX('[1]Citoquinas todos los datos'!F16,'[1]Citoquinas todos los datos'!F20,'[1]Citoquinas todos los datos'!F24))/2,3)</f>
        <v>19,75 - 81,81</v>
      </c>
      <c r="E17" s="39">
        <v>0.72316456506432836</v>
      </c>
      <c r="F17" s="40">
        <v>-0.46760410720398921</v>
      </c>
      <c r="G17" s="40">
        <v>-27.683543493567164</v>
      </c>
      <c r="H17" s="40">
        <v>-21.624999999999993</v>
      </c>
      <c r="I17" s="40">
        <v>-0.16065525054789936</v>
      </c>
      <c r="J17" s="1"/>
      <c r="K17" s="1" t="s">
        <v>72</v>
      </c>
      <c r="L17" s="1" t="s">
        <v>428</v>
      </c>
      <c r="M17" s="9" t="str">
        <f>ROUND('[1]Citoquinas todos los datos'!F14,3)&amp;" - "&amp;ROUND('[1]Citoquinas todos los datos'!F14,3)</f>
        <v>71,79 - 71,79</v>
      </c>
      <c r="N17" s="39" t="s">
        <v>731</v>
      </c>
      <c r="O17" s="39" t="s">
        <v>731</v>
      </c>
      <c r="P17" s="39" t="s">
        <v>731</v>
      </c>
      <c r="Q17" s="39" t="s">
        <v>731</v>
      </c>
      <c r="R17" s="39" t="s">
        <v>731</v>
      </c>
      <c r="S17" s="9"/>
      <c r="T17" s="1" t="s">
        <v>15</v>
      </c>
      <c r="U17" s="1" t="s">
        <v>429</v>
      </c>
      <c r="V17" s="9" t="str">
        <f>ROUND((MIN('[1]Citoquinas todos los datos'!F15,'[1]Citoquinas todos los datos'!F19,'[1]Citoquinas todos los datos'!F23)+MEDIAN('[1]Citoquinas todos los datos'!F15,'[1]Citoquinas todos los datos'!F19,'[1]Citoquinas todos los datos'!F23))/2,3)&amp;" - "&amp;ROUND((MEDIAN('[1]Citoquinas todos los datos'!F15,'[1]Citoquinas todos los datos'!F19,'[1]Citoquinas todos los datos'!F23)+MAX('[1]Citoquinas todos los datos'!F15,'[1]Citoquinas todos los datos'!F19,'[1]Citoquinas todos los datos'!F23))/2,3)</f>
        <v>8,39 - 17,51</v>
      </c>
      <c r="W17" s="39">
        <v>0.73315819103021207</v>
      </c>
      <c r="X17" s="39">
        <v>-0.44780357757636141</v>
      </c>
      <c r="Y17" s="39">
        <v>-26.684180896978795</v>
      </c>
      <c r="Z17" s="39">
        <v>-4.7399999999999984</v>
      </c>
      <c r="AA17" s="39">
        <v>-0.15396275443915111</v>
      </c>
      <c r="AB17" s="9"/>
      <c r="AC17" s="1" t="s">
        <v>15</v>
      </c>
      <c r="AD17" s="1" t="s">
        <v>430</v>
      </c>
      <c r="AE17" s="9" t="str">
        <f>ROUND((MIN('[1]Citoquinas todos los datos'!F17,'[1]Citoquinas todos los datos'!F21,'[1]Citoquinas todos los datos'!F25)+MEDIAN('[1]Citoquinas todos los datos'!F17,'[1]Citoquinas todos los datos'!F21,'[1]Citoquinas todos los datos'!F25))/2,3)&amp;" - "&amp;ROUND((MEDIAN('[1]Citoquinas todos los datos'!F17,'[1]Citoquinas todos los datos'!F21,'[1]Citoquinas todos los datos'!F25)+MAX('[1]Citoquinas todos los datos'!F17,'[1]Citoquinas todos los datos'!F21,'[1]Citoquinas todos los datos'!F25))/2,3)</f>
        <v>16,66 - 26,12</v>
      </c>
      <c r="AF17" s="39">
        <v>0.69415168423227924</v>
      </c>
      <c r="AG17" s="46">
        <v>-0.52667714364230067</v>
      </c>
      <c r="AH17" s="46">
        <v>-30.584831576772075</v>
      </c>
      <c r="AI17" s="46">
        <v>-9.8666666666666742</v>
      </c>
      <c r="AJ17" s="46">
        <v>-0.1805318370334229</v>
      </c>
    </row>
    <row r="18" spans="1:36" x14ac:dyDescent="0.25">
      <c r="A18" s="3" t="s">
        <v>48</v>
      </c>
      <c r="B18" s="1" t="s">
        <v>15</v>
      </c>
      <c r="C18" s="1" t="s">
        <v>431</v>
      </c>
      <c r="D18" s="9" t="str">
        <f>ROUND((MIN('[1]Citoquinas todos los datos'!F28,'[1]Citoquinas todos los datos'!F32,'[1]Citoquinas todos los datos'!F36)+MEDIAN('[1]Citoquinas todos los datos'!F28,'[1]Citoquinas todos los datos'!F32,'[1]Citoquinas todos los datos'!F36))/2,3)&amp;" - "&amp;ROUND((MEDIAN('[1]Citoquinas todos los datos'!F28,'[1]Citoquinas todos los datos'!F32,'[1]Citoquinas todos los datos'!F36)+MAX('[1]Citoquinas todos los datos'!F28,'[1]Citoquinas todos los datos'!F32,'[1]Citoquinas todos los datos'!F36))/2,3)</f>
        <v>21,605 - 75,38</v>
      </c>
      <c r="E18" s="39">
        <v>0.70490089398109623</v>
      </c>
      <c r="F18" s="40">
        <v>-0.50450765980528145</v>
      </c>
      <c r="G18" s="40">
        <v>-29.509910601890375</v>
      </c>
      <c r="H18" s="40">
        <v>-23.051666666666662</v>
      </c>
      <c r="I18" s="40">
        <v>-0.17308871563192207</v>
      </c>
      <c r="J18" s="1"/>
      <c r="K18" s="1" t="s">
        <v>15</v>
      </c>
      <c r="L18" s="1" t="s">
        <v>432</v>
      </c>
      <c r="M18" s="9" t="str">
        <f>ROUND((MIN('[1]Citoquinas todos los datos'!F26,'[1]Citoquinas todos los datos'!F30,'[1]Citoquinas todos los datos'!F34)+MEDIAN('[1]Citoquinas todos los datos'!F26,'[1]Citoquinas todos los datos'!F30,'[1]Citoquinas todos los datos'!F34))/2,3)&amp;" - "&amp;ROUND((MEDIAN('[1]Citoquinas todos los datos'!F26,'[1]Citoquinas todos los datos'!F30,'[1]Citoquinas todos los datos'!F34)+MAX('[1]Citoquinas todos los datos'!F26,'[1]Citoquinas todos los datos'!F30,'[1]Citoquinas todos los datos'!F34))/2,3)</f>
        <v>9,2 - 27,095</v>
      </c>
      <c r="N18" s="39" t="s">
        <v>731</v>
      </c>
      <c r="O18" s="39" t="s">
        <v>731</v>
      </c>
      <c r="P18" s="39" t="s">
        <v>731</v>
      </c>
      <c r="Q18" s="39" t="s">
        <v>731</v>
      </c>
      <c r="R18" s="39" t="s">
        <v>731</v>
      </c>
      <c r="S18" s="9"/>
      <c r="T18" s="1" t="s">
        <v>15</v>
      </c>
      <c r="U18" s="1" t="s">
        <v>433</v>
      </c>
      <c r="V18" s="9" t="str">
        <f>ROUND((MIN('[1]Citoquinas todos los datos'!F27,'[1]Citoquinas todos los datos'!F31,'[1]Citoquinas todos los datos'!F35)+MEDIAN('[1]Citoquinas todos los datos'!F27,'[1]Citoquinas todos los datos'!F31,'[1]Citoquinas todos los datos'!F35))/2,3)&amp;" - "&amp;ROUND((MEDIAN('[1]Citoquinas todos los datos'!F27,'[1]Citoquinas todos los datos'!F31,'[1]Citoquinas todos los datos'!F35)+MAX('[1]Citoquinas todos los datos'!F27,'[1]Citoquinas todos los datos'!F31,'[1]Citoquinas todos los datos'!F35))/2,3)</f>
        <v>14,93 - 22,9</v>
      </c>
      <c r="W18" s="39">
        <v>1.059485832238694</v>
      </c>
      <c r="X18" s="39">
        <v>8.336429568965853E-2</v>
      </c>
      <c r="Y18" s="39">
        <v>5.948583223869397</v>
      </c>
      <c r="Z18" s="39">
        <v>1.0566666666666684</v>
      </c>
      <c r="AA18" s="39">
        <v>2.8883826879271123E-2</v>
      </c>
      <c r="AB18" s="9"/>
      <c r="AC18" s="1" t="s">
        <v>15</v>
      </c>
      <c r="AD18" s="1" t="s">
        <v>434</v>
      </c>
      <c r="AE18" s="9" t="str">
        <f>ROUND((MIN('[1]Citoquinas todos los datos'!F29,'[1]Citoquinas todos los datos'!F33,'[1]Citoquinas todos los datos'!F37)+MEDIAN('[1]Citoquinas todos los datos'!F29,'[1]Citoquinas todos los datos'!F33,'[1]Citoquinas todos los datos'!F37))/2,3)&amp;" - "&amp;ROUND((MEDIAN('[1]Citoquinas todos los datos'!F29,'[1]Citoquinas todos los datos'!F33,'[1]Citoquinas todos los datos'!F37)+MAX('[1]Citoquinas todos los datos'!F29,'[1]Citoquinas todos los datos'!F33,'[1]Citoquinas todos los datos'!F37))/2,3)</f>
        <v>27,38 - 30,74</v>
      </c>
      <c r="AF18" s="39">
        <v>0.88499690018598876</v>
      </c>
      <c r="AG18" s="46">
        <v>-0.17625569290543766</v>
      </c>
      <c r="AH18" s="46">
        <v>-11.500309981401124</v>
      </c>
      <c r="AI18" s="46">
        <v>-3.7100000000000044</v>
      </c>
      <c r="AJ18" s="46">
        <v>-6.1009702351586981E-2</v>
      </c>
    </row>
    <row r="19" spans="1:36" x14ac:dyDescent="0.25">
      <c r="A19" s="3" t="s">
        <v>54</v>
      </c>
      <c r="B19" s="1" t="s">
        <v>17</v>
      </c>
      <c r="C19" s="1" t="s">
        <v>435</v>
      </c>
      <c r="D19" s="9" t="str">
        <f>ROUND((3*MIN('[1]Citoquinas todos los datos'!F40,'[1]Citoquinas todos los datos'!F48)+MAX('[1]Citoquinas todos los datos'!F40,'[1]Citoquinas todos los datos'!F48))/4,3)&amp;" - "&amp;ROUND((MIN('[1]Citoquinas todos los datos'!F40,'[1]Citoquinas todos los datos'!F48)+3*MAX('[1]Citoquinas todos los datos'!F40,'[1]Citoquinas todos los datos'!F48))/4,3)</f>
        <v>16,05 - 22,01</v>
      </c>
      <c r="E19" s="39">
        <v>0.2436151827433912</v>
      </c>
      <c r="F19" s="40">
        <v>-2.0373240462653519</v>
      </c>
      <c r="G19" s="40">
        <v>-75.638481725660881</v>
      </c>
      <c r="H19" s="40">
        <v>-59.084999999999994</v>
      </c>
      <c r="I19" s="40">
        <v>-0.60821452467960258</v>
      </c>
      <c r="J19" s="1"/>
      <c r="K19" s="1" t="s">
        <v>15</v>
      </c>
      <c r="L19" s="1" t="s">
        <v>436</v>
      </c>
      <c r="M19" s="9" t="str">
        <f>ROUND((MIN('[1]Citoquinas todos los datos'!F38,'[1]Citoquinas todos los datos'!F42,'[1]Citoquinas todos los datos'!F46)+MEDIAN('[1]Citoquinas todos los datos'!F38,'[1]Citoquinas todos los datos'!F42,'[1]Citoquinas todos los datos'!F46))/2,3)&amp;" - "&amp;ROUND((MEDIAN('[1]Citoquinas todos los datos'!F38,'[1]Citoquinas todos los datos'!F42,'[1]Citoquinas todos los datos'!F46)+MAX('[1]Citoquinas todos los datos'!F38,'[1]Citoquinas todos los datos'!F42,'[1]Citoquinas todos los datos'!F46))/2,3)</f>
        <v>48,1 - 82,15</v>
      </c>
      <c r="N19" s="39" t="s">
        <v>731</v>
      </c>
      <c r="O19" s="39" t="s">
        <v>731</v>
      </c>
      <c r="P19" s="39" t="s">
        <v>731</v>
      </c>
      <c r="Q19" s="39" t="s">
        <v>731</v>
      </c>
      <c r="R19" s="39" t="s">
        <v>731</v>
      </c>
      <c r="S19" s="9"/>
      <c r="T19" s="1" t="s">
        <v>15</v>
      </c>
      <c r="U19" s="1" t="s">
        <v>437</v>
      </c>
      <c r="V19" s="9" t="str">
        <f>ROUND((MIN('[1]Citoquinas todos los datos'!F39,'[1]Citoquinas todos los datos'!F43,'[1]Citoquinas todos los datos'!F47)+MEDIAN('[1]Citoquinas todos los datos'!F39,'[1]Citoquinas todos los datos'!F43,'[1]Citoquinas todos los datos'!F47))/2,3)&amp;" - "&amp;ROUND((MEDIAN('[1]Citoquinas todos los datos'!F39,'[1]Citoquinas todos los datos'!F43,'[1]Citoquinas todos los datos'!F47)+MAX('[1]Citoquinas todos los datos'!F39,'[1]Citoquinas todos los datos'!F43,'[1]Citoquinas todos los datos'!F47))/2,3)</f>
        <v>40,415 - 77,53</v>
      </c>
      <c r="W19" s="39">
        <v>3.5151060236442109</v>
      </c>
      <c r="X19" s="39">
        <v>1.8135682049390305</v>
      </c>
      <c r="Y19" s="39">
        <v>251.51060236442109</v>
      </c>
      <c r="Z19" s="39">
        <v>44.676666666666662</v>
      </c>
      <c r="AA19" s="39">
        <v>0.55704251693612061</v>
      </c>
      <c r="AB19" s="9"/>
      <c r="AC19" s="1" t="s">
        <v>17</v>
      </c>
      <c r="AD19" s="1" t="s">
        <v>438</v>
      </c>
      <c r="AE19" s="9" t="str">
        <f>ROUND((3*MIN('[1]Citoquinas todos los datos'!F45,'[1]Citoquinas todos los datos'!F49)+MAX('[1]Citoquinas todos los datos'!F45,'[1]Citoquinas todos los datos'!F49))/4,3)&amp;" - "&amp;ROUND((MIN('[1]Citoquinas todos los datos'!F45,'[1]Citoquinas todos los datos'!F49)+3*MAX('[1]Citoquinas todos los datos'!F45,'[1]Citoquinas todos los datos'!F49))/4,3)</f>
        <v>7,565 - 8,275</v>
      </c>
      <c r="AF19" s="39">
        <v>0.24550526968381892</v>
      </c>
      <c r="AG19" s="46">
        <v>-2.0261741030760332</v>
      </c>
      <c r="AH19" s="46">
        <v>-75.449473031618112</v>
      </c>
      <c r="AI19" s="46">
        <v>-24.340000000000003</v>
      </c>
      <c r="AJ19" s="46">
        <v>-0.6057740169238427</v>
      </c>
    </row>
    <row r="20" spans="1:36" x14ac:dyDescent="0.25">
      <c r="A20" s="3" t="s">
        <v>59</v>
      </c>
      <c r="B20" s="1" t="s">
        <v>17</v>
      </c>
      <c r="C20" s="1" t="s">
        <v>439</v>
      </c>
      <c r="D20" s="9" t="str">
        <f>ROUND((3*MIN('[1]Citoquinas todos los datos'!F63,'[1]Citoquinas todos los datos'!F66)+MAX('[1]Citoquinas todos los datos'!F63,'[1]Citoquinas todos los datos'!F66))/4,3)&amp;" - "&amp;ROUND((MIN('[1]Citoquinas todos los datos'!F63,'[1]Citoquinas todos los datos'!F66)+3*MAX('[1]Citoquinas todos los datos'!F63,'[1]Citoquinas todos los datos'!F66))/4,3)</f>
        <v>11,433 - 11,558</v>
      </c>
      <c r="E20" s="39">
        <v>0.14715483581898484</v>
      </c>
      <c r="F20" s="40">
        <v>-2.764593141821194</v>
      </c>
      <c r="G20" s="40">
        <v>-85.284516418101518</v>
      </c>
      <c r="H20" s="40">
        <v>-66.61999999999999</v>
      </c>
      <c r="I20" s="40">
        <v>-0.74344381207454513</v>
      </c>
      <c r="J20" s="1"/>
      <c r="K20" s="1" t="s">
        <v>72</v>
      </c>
      <c r="L20" s="1" t="s">
        <v>440</v>
      </c>
      <c r="M20" s="9" t="str">
        <f>ROUND('[1]Citoquinas todos los datos'!F65,3)&amp;" - "&amp;ROUND('[1]Citoquinas todos los datos'!F65,3)</f>
        <v>36,71 - 36,71</v>
      </c>
      <c r="N20" s="39" t="s">
        <v>731</v>
      </c>
      <c r="O20" s="39" t="s">
        <v>731</v>
      </c>
      <c r="P20" s="39" t="s">
        <v>731</v>
      </c>
      <c r="Q20" s="39" t="s">
        <v>731</v>
      </c>
      <c r="R20" s="39" t="s">
        <v>731</v>
      </c>
      <c r="S20" s="9"/>
      <c r="T20" s="1" t="s">
        <v>72</v>
      </c>
      <c r="U20" s="1" t="s">
        <v>440</v>
      </c>
      <c r="V20" s="9" t="str">
        <f>ROUND('[1]Citoquinas todos los datos'!F65,3)&amp;" - "&amp;ROUND('[1]Citoquinas todos los datos'!F65,3)</f>
        <v>36,71 - 36,71</v>
      </c>
      <c r="W20" s="39" t="s">
        <v>731</v>
      </c>
      <c r="X20" s="39" t="s">
        <v>731</v>
      </c>
      <c r="Y20" s="39" t="s">
        <v>731</v>
      </c>
      <c r="Z20" s="39" t="s">
        <v>731</v>
      </c>
      <c r="AA20" s="39" t="s">
        <v>731</v>
      </c>
      <c r="AB20" s="9"/>
      <c r="AC20" s="1" t="s">
        <v>63</v>
      </c>
      <c r="AD20" s="1" t="s">
        <v>63</v>
      </c>
      <c r="AE20" s="9" t="s">
        <v>63</v>
      </c>
      <c r="AF20" s="39" t="s">
        <v>731</v>
      </c>
      <c r="AG20" s="46" t="s">
        <v>731</v>
      </c>
      <c r="AH20" s="46" t="s">
        <v>731</v>
      </c>
      <c r="AI20" s="46" t="s">
        <v>731</v>
      </c>
      <c r="AJ20" s="46" t="s">
        <v>731</v>
      </c>
    </row>
    <row r="21" spans="1:36" x14ac:dyDescent="0.25">
      <c r="A21" s="3" t="s">
        <v>64</v>
      </c>
      <c r="B21" s="1" t="s">
        <v>17</v>
      </c>
      <c r="C21" s="1" t="s">
        <v>441</v>
      </c>
      <c r="D21" s="9" t="str">
        <f>ROUND((3*MIN('[1]Citoquinas todos los datos'!F69,'[1]Citoquinas todos los datos'!F72)+MAX('[1]Citoquinas todos los datos'!F69,'[1]Citoquinas todos los datos'!F72))/4,3)&amp;" - "&amp;ROUND((MIN('[1]Citoquinas todos los datos'!F69,'[1]Citoquinas todos los datos'!F72)+3*MAX('[1]Citoquinas todos los datos'!F69,'[1]Citoquinas todos los datos'!F72))/4,3)</f>
        <v>32,213 - 42,878</v>
      </c>
      <c r="E21" s="39">
        <v>0.48063752160276518</v>
      </c>
      <c r="F21" s="40">
        <v>-1.0569788161298859</v>
      </c>
      <c r="G21" s="40">
        <v>-51.936247839723478</v>
      </c>
      <c r="H21" s="40">
        <v>-40.569999999999993</v>
      </c>
      <c r="I21" s="40">
        <v>-0.35076949680096831</v>
      </c>
      <c r="J21" s="1"/>
      <c r="K21" s="1" t="s">
        <v>17</v>
      </c>
      <c r="L21" s="1" t="s">
        <v>442</v>
      </c>
      <c r="M21" s="9" t="str">
        <f>ROUND((3*MIN('[1]Citoquinas todos los datos'!F68,'[1]Citoquinas todos los datos'!F71)+MAX('[1]Citoquinas todos los datos'!F68,'[1]Citoquinas todos los datos'!F71))/4,3)&amp;" - "&amp;ROUND((MIN('[1]Citoquinas todos los datos'!F68,'[1]Citoquinas todos los datos'!F71)+3*MAX('[1]Citoquinas todos los datos'!F68,'[1]Citoquinas todos los datos'!F71))/4,3)</f>
        <v>21,065 - 21,535</v>
      </c>
      <c r="N21" s="39" t="s">
        <v>731</v>
      </c>
      <c r="O21" s="39" t="s">
        <v>731</v>
      </c>
      <c r="P21" s="39" t="s">
        <v>731</v>
      </c>
      <c r="Q21" s="39" t="s">
        <v>731</v>
      </c>
      <c r="R21" s="39" t="s">
        <v>731</v>
      </c>
      <c r="S21" s="9"/>
      <c r="T21" s="1" t="s">
        <v>17</v>
      </c>
      <c r="U21" s="1" t="s">
        <v>442</v>
      </c>
      <c r="V21" s="9" t="str">
        <f>ROUND((3*MIN('[1]Citoquinas todos los datos'!F68,'[1]Citoquinas todos los datos'!F71)+MAX('[1]Citoquinas todos los datos'!F68,'[1]Citoquinas todos los datos'!F71))/4,3)&amp;" - "&amp;ROUND((MIN('[1]Citoquinas todos los datos'!F68,'[1]Citoquinas todos los datos'!F71)+3*MAX('[1]Citoquinas todos los datos'!F68,'[1]Citoquinas todos los datos'!F71))/4,3)</f>
        <v>21,065 - 21,535</v>
      </c>
      <c r="W21" s="39">
        <v>1.1990992681553763</v>
      </c>
      <c r="X21" s="39">
        <v>0.26195109807432232</v>
      </c>
      <c r="Y21" s="39">
        <v>19.909926815537627</v>
      </c>
      <c r="Z21" s="39">
        <v>3.5366666666666653</v>
      </c>
      <c r="AA21" s="39">
        <v>9.0536735216315348E-2</v>
      </c>
      <c r="AB21" s="9"/>
      <c r="AC21" s="1" t="s">
        <v>17</v>
      </c>
      <c r="AD21" s="1" t="s">
        <v>443</v>
      </c>
      <c r="AE21" s="9" t="str">
        <f>ROUND((3*MIN('[1]Citoquinas todos los datos'!F70,'[1]Citoquinas todos los datos'!F73)+MAX('[1]Citoquinas todos los datos'!F70,'[1]Citoquinas todos los datos'!F73))/4,3)&amp;" - "&amp;ROUND((MIN('[1]Citoquinas todos los datos'!F70,'[1]Citoquinas todos los datos'!F73)+3*MAX('[1]Citoquinas todos los datos'!F70,'[1]Citoquinas todos los datos'!F73))/4,3)</f>
        <v>6,538 - 8,773</v>
      </c>
      <c r="AF21" s="39">
        <v>0.23729076255424672</v>
      </c>
      <c r="AG21" s="46">
        <v>-2.0752721556558549</v>
      </c>
      <c r="AH21" s="46">
        <v>-76.270923744575327</v>
      </c>
      <c r="AI21" s="46">
        <v>-24.605000000000004</v>
      </c>
      <c r="AJ21" s="46">
        <v>-0.61643492421395463</v>
      </c>
    </row>
    <row r="22" spans="1:36" x14ac:dyDescent="0.25">
      <c r="A22" s="36" t="s">
        <v>444</v>
      </c>
      <c r="B22" s="1"/>
      <c r="C22" s="1"/>
      <c r="D22" s="9"/>
      <c r="E22" s="9"/>
      <c r="F22" s="1"/>
      <c r="J22" s="1"/>
      <c r="K22" s="1"/>
      <c r="L22" s="1"/>
      <c r="M22" s="9"/>
      <c r="N22" s="9"/>
      <c r="O22" s="9"/>
      <c r="S22" s="9"/>
      <c r="T22" s="1"/>
      <c r="U22" s="1"/>
      <c r="V22" s="9"/>
      <c r="W22" s="9"/>
      <c r="X22" s="9"/>
      <c r="AB22" s="9"/>
      <c r="AC22" s="1"/>
      <c r="AD22" s="1"/>
      <c r="AE22" s="9"/>
      <c r="AF22" s="9"/>
    </row>
    <row r="23" spans="1:36" x14ac:dyDescent="0.25">
      <c r="A23" s="3" t="s">
        <v>14</v>
      </c>
      <c r="B23" s="1" t="s">
        <v>63</v>
      </c>
      <c r="C23" s="1" t="s">
        <v>63</v>
      </c>
      <c r="D23" s="9" t="s">
        <v>63</v>
      </c>
      <c r="E23" s="39" t="s">
        <v>731</v>
      </c>
      <c r="F23" s="40" t="s">
        <v>731</v>
      </c>
      <c r="G23" s="40" t="s">
        <v>731</v>
      </c>
      <c r="H23" s="40" t="s">
        <v>731</v>
      </c>
      <c r="I23" s="40" t="s">
        <v>731</v>
      </c>
      <c r="J23" s="1"/>
      <c r="K23" s="1" t="s">
        <v>72</v>
      </c>
      <c r="L23" s="1" t="s">
        <v>445</v>
      </c>
      <c r="M23" s="9" t="str">
        <f>ROUND('[1]Citoquinas todos los datos'!G58,3)&amp;" - "&amp;ROUND('[1]Citoquinas todos los datos'!G58,3)</f>
        <v>169,21 - 169,21</v>
      </c>
      <c r="N23" s="39">
        <v>1</v>
      </c>
      <c r="O23" s="39">
        <v>0</v>
      </c>
      <c r="P23" s="39">
        <v>0</v>
      </c>
      <c r="Q23" s="39">
        <v>0</v>
      </c>
      <c r="R23" s="39">
        <v>0</v>
      </c>
      <c r="S23" s="9"/>
      <c r="T23" s="1" t="s">
        <v>63</v>
      </c>
      <c r="U23" s="1" t="s">
        <v>63</v>
      </c>
      <c r="V23" s="9" t="s">
        <v>63</v>
      </c>
      <c r="W23" s="39" t="s">
        <v>731</v>
      </c>
      <c r="X23" s="39" t="s">
        <v>731</v>
      </c>
      <c r="Y23" s="39" t="s">
        <v>731</v>
      </c>
      <c r="Z23" s="39" t="s">
        <v>731</v>
      </c>
      <c r="AA23" s="39" t="s">
        <v>731</v>
      </c>
      <c r="AB23" s="9"/>
      <c r="AC23" s="1" t="s">
        <v>17</v>
      </c>
      <c r="AD23" s="1" t="s">
        <v>446</v>
      </c>
      <c r="AE23" s="9" t="str">
        <f>ROUND((3*MIN('[1]Citoquinas todos los datos'!G57,'[1]Citoquinas todos los datos'!G61)+MAX('[1]Citoquinas todos los datos'!G57,'[1]Citoquinas todos los datos'!G61))/4,3)&amp;" - "&amp;ROUND((MIN('[1]Citoquinas todos los datos'!G57,'[1]Citoquinas todos los datos'!G61)+3*MAX('[1]Citoquinas todos los datos'!G57,'[1]Citoquinas todos los datos'!G61))/4,3)</f>
        <v>173,895 - 174,385</v>
      </c>
      <c r="AF23" s="39">
        <v>1</v>
      </c>
      <c r="AG23" s="46">
        <v>0</v>
      </c>
      <c r="AH23" s="46">
        <v>0</v>
      </c>
      <c r="AI23" s="46">
        <v>0</v>
      </c>
      <c r="AJ23" s="46">
        <v>0</v>
      </c>
    </row>
    <row r="24" spans="1:36" x14ac:dyDescent="0.25">
      <c r="A24" s="3" t="s">
        <v>25</v>
      </c>
      <c r="B24" s="1" t="s">
        <v>17</v>
      </c>
      <c r="C24" s="1" t="s">
        <v>447</v>
      </c>
      <c r="D24" s="9" t="str">
        <f>ROUND((3*MIN('[1]Citoquinas todos los datos'!G76,'[1]Citoquinas todos los datos'!G80)+MAX('[1]Citoquinas todos los datos'!G76,'[1]Citoquinas todos los datos'!G80))/4,3)&amp;" - "&amp;ROUND((MIN('[1]Citoquinas todos los datos'!G76,'[1]Citoquinas todos los datos'!G80)+3*MAX('[1]Citoquinas todos los datos'!G76,'[1]Citoquinas todos los datos'!G80))/4,3)</f>
        <v>192,633 - 201,338</v>
      </c>
      <c r="E24" s="39" t="s">
        <v>731</v>
      </c>
      <c r="F24" s="40" t="s">
        <v>731</v>
      </c>
      <c r="G24" s="40" t="s">
        <v>731</v>
      </c>
      <c r="H24" s="40" t="s">
        <v>731</v>
      </c>
      <c r="I24" s="40" t="s">
        <v>731</v>
      </c>
      <c r="J24" s="1"/>
      <c r="K24" s="1" t="s">
        <v>15</v>
      </c>
      <c r="L24" s="1" t="s">
        <v>448</v>
      </c>
      <c r="M24" s="9" t="str">
        <f>ROUND((MIN('[1]Citoquinas todos los datos'!G74,'[1]Citoquinas todos los datos'!G78,'[1]Citoquinas todos los datos'!G82)+MEDIAN('[1]Citoquinas todos los datos'!G74,'[1]Citoquinas todos los datos'!G78,'[1]Citoquinas todos los datos'!G82))/2,3)&amp;" - "&amp;ROUND((MEDIAN('[1]Citoquinas todos los datos'!G74,'[1]Citoquinas todos los datos'!G78,'[1]Citoquinas todos los datos'!G82)+MAX('[1]Citoquinas todos los datos'!G74,'[1]Citoquinas todos los datos'!G78,'[1]Citoquinas todos los datos'!G82))/2,3)</f>
        <v>183,235 - 188,845</v>
      </c>
      <c r="N24" s="39" t="s">
        <v>731</v>
      </c>
      <c r="O24" s="39" t="s">
        <v>731</v>
      </c>
      <c r="P24" s="39" t="s">
        <v>731</v>
      </c>
      <c r="Q24" s="39" t="s">
        <v>731</v>
      </c>
      <c r="R24" s="39" t="s">
        <v>731</v>
      </c>
      <c r="S24" s="9"/>
      <c r="T24" s="1" t="s">
        <v>17</v>
      </c>
      <c r="U24" s="1" t="s">
        <v>449</v>
      </c>
      <c r="V24" s="9" t="str">
        <f>ROUND((3*MIN('[1]Citoquinas todos los datos'!G79,'[1]Citoquinas todos los datos'!G83)+MAX('[1]Citoquinas todos los datos'!G79,'[1]Citoquinas todos los datos'!G83))/4,3)&amp;" - "&amp;ROUND((MIN('[1]Citoquinas todos los datos'!G79,'[1]Citoquinas todos los datos'!G83)+3*MAX('[1]Citoquinas todos los datos'!G79,'[1]Citoquinas todos los datos'!G83))/4,3)</f>
        <v>184,08 - 203,78</v>
      </c>
      <c r="W24" s="39" t="s">
        <v>731</v>
      </c>
      <c r="X24" s="39" t="s">
        <v>731</v>
      </c>
      <c r="Y24" s="39" t="s">
        <v>731</v>
      </c>
      <c r="Z24" s="39" t="s">
        <v>731</v>
      </c>
      <c r="AA24" s="39" t="s">
        <v>731</v>
      </c>
      <c r="AB24" s="9"/>
      <c r="AC24" s="1" t="s">
        <v>72</v>
      </c>
      <c r="AD24" s="1" t="s">
        <v>450</v>
      </c>
      <c r="AE24" s="9" t="str">
        <f>ROUND('[1]Citoquinas todos los datos'!G85,3)&amp;" - "&amp;ROUND('[1]Citoquinas todos los datos'!G85,3)</f>
        <v>165,11 - 165,11</v>
      </c>
      <c r="AF24" s="39" t="s">
        <v>731</v>
      </c>
      <c r="AG24" s="46" t="s">
        <v>731</v>
      </c>
      <c r="AH24" s="46" t="s">
        <v>731</v>
      </c>
      <c r="AI24" s="46" t="s">
        <v>731</v>
      </c>
      <c r="AJ24" s="46" t="s">
        <v>731</v>
      </c>
    </row>
    <row r="25" spans="1:36" x14ac:dyDescent="0.25">
      <c r="A25" s="3" t="s">
        <v>35</v>
      </c>
      <c r="B25" s="1" t="s">
        <v>72</v>
      </c>
      <c r="C25" s="1" t="s">
        <v>451</v>
      </c>
      <c r="D25" s="9" t="str">
        <f>ROUND('[1]Citoquinas todos los datos'!G8,3)&amp;" - "&amp;ROUND('[1]Citoquinas todos los datos'!G8,3)</f>
        <v>182,92 - 182,92</v>
      </c>
      <c r="E25" s="39" t="s">
        <v>731</v>
      </c>
      <c r="F25" s="40" t="s">
        <v>731</v>
      </c>
      <c r="G25" s="40" t="s">
        <v>731</v>
      </c>
      <c r="H25" s="40" t="s">
        <v>731</v>
      </c>
      <c r="I25" s="40" t="s">
        <v>731</v>
      </c>
      <c r="J25" s="1"/>
      <c r="K25" s="1" t="s">
        <v>17</v>
      </c>
      <c r="L25" s="1" t="s">
        <v>452</v>
      </c>
      <c r="M25" s="9" t="str">
        <f>ROUND((3*MIN('[1]Citoquinas todos los datos'!G2,'[1]Citoquinas todos los datos'!G6)+MAX('[1]Citoquinas todos los datos'!G2,'[1]Citoquinas todos los datos'!G6))/4,3)&amp;" - "&amp;ROUND((MIN('[1]Citoquinas todos los datos'!G2,'[1]Citoquinas todos los datos'!G6)+3*MAX('[1]Citoquinas todos los datos'!G2,'[1]Citoquinas todos los datos'!G6))/4,3)</f>
        <v>179,79 - 183,59</v>
      </c>
      <c r="N25" s="39" t="s">
        <v>731</v>
      </c>
      <c r="O25" s="39" t="s">
        <v>731</v>
      </c>
      <c r="P25" s="39" t="s">
        <v>731</v>
      </c>
      <c r="Q25" s="39" t="s">
        <v>731</v>
      </c>
      <c r="R25" s="39" t="s">
        <v>731</v>
      </c>
      <c r="S25" s="9"/>
      <c r="T25" s="1" t="s">
        <v>17</v>
      </c>
      <c r="U25" s="1" t="s">
        <v>453</v>
      </c>
      <c r="V25" s="9" t="str">
        <f>ROUND((3*MIN('[1]Citoquinas todos los datos'!G3,'[1]Citoquinas todos los datos'!G11)+MAX('[1]Citoquinas todos los datos'!G3,'[1]Citoquinas todos los datos'!G11))/4,3)&amp;" - "&amp;ROUND((MIN('[1]Citoquinas todos los datos'!G3,'[1]Citoquinas todos los datos'!G11)+3*MAX('[1]Citoquinas todos los datos'!G3,'[1]Citoquinas todos los datos'!G11))/4,3)</f>
        <v>178,2 - 189,18</v>
      </c>
      <c r="W25" s="39" t="s">
        <v>731</v>
      </c>
      <c r="X25" s="39" t="s">
        <v>731</v>
      </c>
      <c r="Y25" s="39" t="s">
        <v>731</v>
      </c>
      <c r="Z25" s="39" t="s">
        <v>731</v>
      </c>
      <c r="AA25" s="39" t="s">
        <v>731</v>
      </c>
      <c r="AB25" s="9"/>
      <c r="AC25" s="1" t="s">
        <v>15</v>
      </c>
      <c r="AD25" s="1" t="s">
        <v>454</v>
      </c>
      <c r="AE25" s="9" t="str">
        <f>ROUND((MIN('[1]Citoquinas todos los datos'!G5,'[1]Citoquinas todos los datos'!G9,'[1]Citoquinas todos los datos'!G13)+MEDIAN('[1]Citoquinas todos los datos'!G5,'[1]Citoquinas todos los datos'!G9,'[1]Citoquinas todos los datos'!G13))/2,3)&amp;" - "&amp;ROUND((MEDIAN('[1]Citoquinas todos los datos'!G5,'[1]Citoquinas todos los datos'!G9,'[1]Citoquinas todos los datos'!G13)+MAX('[1]Citoquinas todos los datos'!G5,'[1]Citoquinas todos los datos'!G9,'[1]Citoquinas todos los datos'!G13))/2,3)</f>
        <v>178,665 - 184,98</v>
      </c>
      <c r="AF25" s="39">
        <v>1.0410397764250987</v>
      </c>
      <c r="AG25" s="46">
        <v>5.8025192705458764E-2</v>
      </c>
      <c r="AH25" s="46">
        <v>4.1039776425098706</v>
      </c>
      <c r="AI25" s="46">
        <v>7.1466666666666754</v>
      </c>
      <c r="AJ25" s="46">
        <v>2.0107288892223459E-2</v>
      </c>
    </row>
    <row r="26" spans="1:36" x14ac:dyDescent="0.25">
      <c r="A26" s="3" t="s">
        <v>42</v>
      </c>
      <c r="B26" s="1" t="s">
        <v>17</v>
      </c>
      <c r="C26" s="1" t="s">
        <v>455</v>
      </c>
      <c r="D26" s="9" t="str">
        <f>ROUND((3*MIN('[1]Citoquinas todos los datos'!G20,'[1]Citoquinas todos los datos'!G24)+MAX('[1]Citoquinas todos los datos'!G20,'[1]Citoquinas todos los datos'!G24))/4,3)&amp;" - "&amp;ROUND((MIN('[1]Citoquinas todos los datos'!G20,'[1]Citoquinas todos los datos'!G24)+3*MAX('[1]Citoquinas todos los datos'!G20,'[1]Citoquinas todos los datos'!G24))/4,3)</f>
        <v>181,795 - 193,165</v>
      </c>
      <c r="E26" s="39" t="s">
        <v>731</v>
      </c>
      <c r="F26" s="40" t="s">
        <v>731</v>
      </c>
      <c r="G26" s="40" t="s">
        <v>731</v>
      </c>
      <c r="H26" s="40" t="s">
        <v>731</v>
      </c>
      <c r="I26" s="40" t="s">
        <v>731</v>
      </c>
      <c r="J26" s="1"/>
      <c r="K26" s="1" t="s">
        <v>63</v>
      </c>
      <c r="L26" s="1" t="s">
        <v>63</v>
      </c>
      <c r="M26" s="9" t="s">
        <v>63</v>
      </c>
      <c r="N26" s="39" t="s">
        <v>731</v>
      </c>
      <c r="O26" s="39" t="s">
        <v>731</v>
      </c>
      <c r="P26" s="39" t="s">
        <v>731</v>
      </c>
      <c r="Q26" s="39" t="s">
        <v>731</v>
      </c>
      <c r="R26" s="39" t="s">
        <v>731</v>
      </c>
      <c r="S26" s="9"/>
      <c r="T26" s="1" t="s">
        <v>15</v>
      </c>
      <c r="U26" s="1" t="s">
        <v>456</v>
      </c>
      <c r="V26" s="9" t="str">
        <f>ROUND((MIN('[1]Citoquinas todos los datos'!G15,'[1]Citoquinas todos los datos'!G19,'[1]Citoquinas todos los datos'!G23)+MEDIAN('[1]Citoquinas todos los datos'!G15,'[1]Citoquinas todos los datos'!G19,'[1]Citoquinas todos los datos'!G23))/2,3)&amp;" - "&amp;ROUND((MEDIAN('[1]Citoquinas todos los datos'!G15,'[1]Citoquinas todos los datos'!G19,'[1]Citoquinas todos los datos'!G23)+MAX('[1]Citoquinas todos los datos'!G15,'[1]Citoquinas todos los datos'!G19,'[1]Citoquinas todos los datos'!G23))/2,3)</f>
        <v>186,225 - 197,985</v>
      </c>
      <c r="W26" s="39" t="s">
        <v>731</v>
      </c>
      <c r="X26" s="39" t="s">
        <v>731</v>
      </c>
      <c r="Y26" s="39" t="s">
        <v>731</v>
      </c>
      <c r="Z26" s="39" t="s">
        <v>731</v>
      </c>
      <c r="AA26" s="39" t="s">
        <v>731</v>
      </c>
      <c r="AB26" s="9"/>
      <c r="AC26" s="1" t="s">
        <v>72</v>
      </c>
      <c r="AD26" s="1" t="s">
        <v>457</v>
      </c>
      <c r="AE26" s="9" t="str">
        <f>ROUND('[1]Citoquinas todos los datos'!G21,3)&amp;" - "&amp;ROUND('[1]Citoquinas todos los datos'!G21,3)</f>
        <v>185,43 - 185,43</v>
      </c>
      <c r="AF26" s="39" t="s">
        <v>731</v>
      </c>
      <c r="AG26" s="46" t="s">
        <v>731</v>
      </c>
      <c r="AH26" s="46" t="s">
        <v>731</v>
      </c>
      <c r="AI26" s="46" t="s">
        <v>731</v>
      </c>
      <c r="AJ26" s="46" t="s">
        <v>731</v>
      </c>
    </row>
    <row r="27" spans="1:36" x14ac:dyDescent="0.25">
      <c r="A27" s="3" t="s">
        <v>48</v>
      </c>
      <c r="B27" s="1" t="s">
        <v>63</v>
      </c>
      <c r="C27" s="1" t="s">
        <v>63</v>
      </c>
      <c r="D27" s="9" t="s">
        <v>63</v>
      </c>
      <c r="E27" s="39" t="s">
        <v>731</v>
      </c>
      <c r="F27" s="40" t="s">
        <v>731</v>
      </c>
      <c r="G27" s="40" t="s">
        <v>731</v>
      </c>
      <c r="H27" s="40" t="s">
        <v>731</v>
      </c>
      <c r="I27" s="40" t="s">
        <v>731</v>
      </c>
      <c r="J27" s="1"/>
      <c r="K27" s="1" t="s">
        <v>72</v>
      </c>
      <c r="L27" s="1" t="s">
        <v>458</v>
      </c>
      <c r="M27" s="9" t="str">
        <f>ROUND('[1]Citoquinas todos los datos'!G26,3)&amp;" - "&amp;ROUND('[1]Citoquinas todos los datos'!G26,3)</f>
        <v>167,09 - 167,09</v>
      </c>
      <c r="N27" s="39" t="s">
        <v>731</v>
      </c>
      <c r="O27" s="39" t="s">
        <v>731</v>
      </c>
      <c r="P27" s="39" t="s">
        <v>731</v>
      </c>
      <c r="Q27" s="39" t="s">
        <v>731</v>
      </c>
      <c r="R27" s="39" t="s">
        <v>731</v>
      </c>
      <c r="S27" s="9"/>
      <c r="T27" s="1" t="s">
        <v>17</v>
      </c>
      <c r="U27" s="1" t="s">
        <v>459</v>
      </c>
      <c r="V27" s="9" t="str">
        <f>ROUND((3*MIN('[1]Citoquinas todos los datos'!G27,'[1]Citoquinas todos los datos'!G31)+MAX('[1]Citoquinas todos los datos'!G27,'[1]Citoquinas todos los datos'!G31))/4,3)&amp;" - "&amp;ROUND((MIN('[1]Citoquinas todos los datos'!G27,'[1]Citoquinas todos los datos'!G31)+3*MAX('[1]Citoquinas todos los datos'!G27,'[1]Citoquinas todos los datos'!G31))/4,3)</f>
        <v>185,423 - 200,088</v>
      </c>
      <c r="W27" s="39" t="s">
        <v>731</v>
      </c>
      <c r="X27" s="39" t="s">
        <v>731</v>
      </c>
      <c r="Y27" s="39" t="s">
        <v>731</v>
      </c>
      <c r="Z27" s="39" t="s">
        <v>731</v>
      </c>
      <c r="AA27" s="39" t="s">
        <v>731</v>
      </c>
      <c r="AB27" s="9"/>
      <c r="AC27" s="1" t="s">
        <v>63</v>
      </c>
      <c r="AD27" s="1" t="s">
        <v>63</v>
      </c>
      <c r="AE27" s="9" t="s">
        <v>63</v>
      </c>
      <c r="AF27" s="39" t="s">
        <v>731</v>
      </c>
      <c r="AG27" s="46" t="s">
        <v>731</v>
      </c>
      <c r="AH27" s="46" t="s">
        <v>731</v>
      </c>
      <c r="AI27" s="46" t="s">
        <v>731</v>
      </c>
      <c r="AJ27" s="46" t="s">
        <v>731</v>
      </c>
    </row>
    <row r="28" spans="1:36" x14ac:dyDescent="0.25">
      <c r="A28" s="3" t="s">
        <v>54</v>
      </c>
      <c r="B28" s="1" t="s">
        <v>17</v>
      </c>
      <c r="C28" s="1" t="s">
        <v>460</v>
      </c>
      <c r="D28" s="9" t="str">
        <f>ROUND((3*MIN('[1]Citoquinas todos los datos'!G44,'[1]Citoquinas todos los datos'!G48)+MAX('[1]Citoquinas todos los datos'!G44,'[1]Citoquinas todos los datos'!G48))/4,3)&amp;" - "&amp;ROUND((MIN('[1]Citoquinas todos los datos'!G44,'[1]Citoquinas todos los datos'!G48)+3*MAX('[1]Citoquinas todos los datos'!G44,'[1]Citoquinas todos los datos'!G48))/4,3)</f>
        <v>163,478 - 175,253</v>
      </c>
      <c r="E28" s="39" t="s">
        <v>731</v>
      </c>
      <c r="F28" s="40" t="s">
        <v>731</v>
      </c>
      <c r="G28" s="40" t="s">
        <v>731</v>
      </c>
      <c r="H28" s="40" t="s">
        <v>731</v>
      </c>
      <c r="I28" s="40" t="s">
        <v>731</v>
      </c>
      <c r="J28" s="1"/>
      <c r="K28" s="1" t="s">
        <v>15</v>
      </c>
      <c r="L28" s="1" t="s">
        <v>461</v>
      </c>
      <c r="M28" s="9" t="str">
        <f>ROUND((MIN('[1]Citoquinas todos los datos'!G38,'[1]Citoquinas todos los datos'!G42,'[1]Citoquinas todos los datos'!G46)+MEDIAN('[1]Citoquinas todos los datos'!G38,'[1]Citoquinas todos los datos'!G42,'[1]Citoquinas todos los datos'!G46))/2,3)&amp;" - "&amp;ROUND((MEDIAN('[1]Citoquinas todos los datos'!G38,'[1]Citoquinas todos los datos'!G42,'[1]Citoquinas todos los datos'!G46)+MAX('[1]Citoquinas todos los datos'!G38,'[1]Citoquinas todos los datos'!G42,'[1]Citoquinas todos los datos'!G46))/2,3)</f>
        <v>184,26 - 188,45</v>
      </c>
      <c r="N28" s="39" t="s">
        <v>731</v>
      </c>
      <c r="O28" s="39" t="s">
        <v>731</v>
      </c>
      <c r="P28" s="39" t="s">
        <v>731</v>
      </c>
      <c r="Q28" s="39" t="s">
        <v>731</v>
      </c>
      <c r="R28" s="39" t="s">
        <v>731</v>
      </c>
      <c r="S28" s="9"/>
      <c r="T28" s="1" t="s">
        <v>72</v>
      </c>
      <c r="U28" s="1" t="s">
        <v>462</v>
      </c>
      <c r="V28" s="9" t="str">
        <f>ROUND('[1]Citoquinas todos los datos'!G39,3)&amp;" - "&amp;ROUND('[1]Citoquinas todos los datos'!G39,3)</f>
        <v>184,94 - 184,94</v>
      </c>
      <c r="W28" s="39" t="s">
        <v>731</v>
      </c>
      <c r="X28" s="39" t="s">
        <v>731</v>
      </c>
      <c r="Y28" s="39" t="s">
        <v>731</v>
      </c>
      <c r="Z28" s="39" t="s">
        <v>731</v>
      </c>
      <c r="AA28" s="39" t="s">
        <v>731</v>
      </c>
      <c r="AB28" s="9"/>
      <c r="AC28" s="1" t="s">
        <v>17</v>
      </c>
      <c r="AD28" s="1" t="s">
        <v>463</v>
      </c>
      <c r="AE28" s="9" t="str">
        <f>ROUND((3*MIN('[1]Citoquinas todos los datos'!G41,'[1]Citoquinas todos los datos'!G45)+MAX('[1]Citoquinas todos los datos'!G41,'[1]Citoquinas todos los datos'!G45))/4,3)&amp;" - "&amp;ROUND((MIN('[1]Citoquinas todos los datos'!G41,'[1]Citoquinas todos los datos'!G45)+3*MAX('[1]Citoquinas todos los datos'!G41,'[1]Citoquinas todos los datos'!G45))/4,3)</f>
        <v>180,41 - 185,61</v>
      </c>
      <c r="AF28" s="39">
        <v>1.05093602848283</v>
      </c>
      <c r="AG28" s="46">
        <v>7.1674853696421958E-2</v>
      </c>
      <c r="AH28" s="46">
        <v>5.0936028482829965</v>
      </c>
      <c r="AI28" s="46">
        <v>8.8700000000000045</v>
      </c>
      <c r="AJ28" s="46">
        <v>2.4835503289934217E-2</v>
      </c>
    </row>
    <row r="29" spans="1:36" x14ac:dyDescent="0.25">
      <c r="A29" s="3" t="s">
        <v>59</v>
      </c>
      <c r="B29" s="1" t="s">
        <v>17</v>
      </c>
      <c r="C29" s="1" t="s">
        <v>464</v>
      </c>
      <c r="D29" s="9" t="str">
        <f>ROUND((3*MIN('[1]Citoquinas todos los datos'!G63,'[1]Citoquinas todos los datos'!G66)+MAX('[1]Citoquinas todos los datos'!G63,'[1]Citoquinas todos los datos'!G66))/4,3)&amp;" - "&amp;ROUND((MIN('[1]Citoquinas todos los datos'!G63,'[1]Citoquinas todos los datos'!G66)+3*MAX('[1]Citoquinas todos los datos'!G63,'[1]Citoquinas todos los datos'!G66))/4,3)</f>
        <v>166,235 - 172,785</v>
      </c>
      <c r="E29" s="39" t="s">
        <v>731</v>
      </c>
      <c r="F29" s="40" t="s">
        <v>731</v>
      </c>
      <c r="G29" s="40" t="s">
        <v>731</v>
      </c>
      <c r="H29" s="40" t="s">
        <v>731</v>
      </c>
      <c r="I29" s="40" t="s">
        <v>731</v>
      </c>
      <c r="J29" s="1"/>
      <c r="K29" s="1" t="s">
        <v>72</v>
      </c>
      <c r="L29" s="1" t="s">
        <v>465</v>
      </c>
      <c r="M29" s="9" t="str">
        <f>ROUND('[1]Citoquinas todos los datos'!G62,3)&amp;" - "&amp;ROUND('[1]Citoquinas todos los datos'!G62,3)</f>
        <v>175,54 - 175,54</v>
      </c>
      <c r="N29" s="39" t="s">
        <v>731</v>
      </c>
      <c r="O29" s="39" t="s">
        <v>731</v>
      </c>
      <c r="P29" s="39" t="s">
        <v>731</v>
      </c>
      <c r="Q29" s="39" t="s">
        <v>731</v>
      </c>
      <c r="R29" s="39" t="s">
        <v>731</v>
      </c>
      <c r="S29" s="9"/>
      <c r="T29" s="1" t="s">
        <v>72</v>
      </c>
      <c r="U29" s="1" t="s">
        <v>465</v>
      </c>
      <c r="V29" s="9" t="str">
        <f>ROUND('[1]Citoquinas todos los datos'!G62,3)&amp;" - "&amp;ROUND('[1]Citoquinas todos los datos'!G62,3)</f>
        <v>175,54 - 175,54</v>
      </c>
      <c r="W29" s="39" t="s">
        <v>731</v>
      </c>
      <c r="X29" s="39" t="s">
        <v>731</v>
      </c>
      <c r="Y29" s="39" t="s">
        <v>731</v>
      </c>
      <c r="Z29" s="39" t="s">
        <v>731</v>
      </c>
      <c r="AA29" s="39" t="s">
        <v>731</v>
      </c>
      <c r="AB29" s="9"/>
      <c r="AC29" s="1" t="s">
        <v>17</v>
      </c>
      <c r="AD29" s="1" t="s">
        <v>466</v>
      </c>
      <c r="AE29" s="9" t="str">
        <f>ROUND((3*MIN('[1]Citoquinas todos los datos'!G64,'[1]Citoquinas todos los datos'!G67)+MAX('[1]Citoquinas todos los datos'!G64,'[1]Citoquinas todos los datos'!G67))/4,3)&amp;" - "&amp;ROUND((MIN('[1]Citoquinas todos los datos'!G64,'[1]Citoquinas todos los datos'!G67)+3*MAX('[1]Citoquinas todos los datos'!G64,'[1]Citoquinas todos los datos'!G67))/4,3)</f>
        <v>186,598 - 188,693</v>
      </c>
      <c r="AF29" s="39">
        <v>1.0775525439301712</v>
      </c>
      <c r="AG29" s="46">
        <v>0.10775822014430129</v>
      </c>
      <c r="AH29" s="46">
        <v>7.7552543930171192</v>
      </c>
      <c r="AI29" s="46">
        <v>13.505000000000024</v>
      </c>
      <c r="AJ29" s="46">
        <v>3.7328800254294747E-2</v>
      </c>
    </row>
    <row r="30" spans="1:36" x14ac:dyDescent="0.25">
      <c r="A30" s="3" t="s">
        <v>64</v>
      </c>
      <c r="B30" s="1" t="s">
        <v>72</v>
      </c>
      <c r="C30" s="1" t="s">
        <v>467</v>
      </c>
      <c r="D30" s="9" t="str">
        <f>ROUND('[1]Citoquinas todos los datos'!G69,3)&amp;" - "&amp;ROUND('[1]Citoquinas todos los datos'!G69,3)</f>
        <v>179,39 - 179,39</v>
      </c>
      <c r="E30" s="39" t="s">
        <v>731</v>
      </c>
      <c r="F30" s="40" t="s">
        <v>731</v>
      </c>
      <c r="G30" s="40" t="s">
        <v>731</v>
      </c>
      <c r="H30" s="40" t="s">
        <v>731</v>
      </c>
      <c r="I30" s="40" t="s">
        <v>731</v>
      </c>
      <c r="J30" s="1"/>
      <c r="K30" s="1" t="s">
        <v>72</v>
      </c>
      <c r="L30" s="1" t="s">
        <v>468</v>
      </c>
      <c r="M30" s="9" t="str">
        <f>ROUND('[1]Citoquinas todos los datos'!G68,3)&amp;" - "&amp;ROUND('[1]Citoquinas todos los datos'!G68,3)</f>
        <v>165,53 - 165,53</v>
      </c>
      <c r="N30" s="39" t="s">
        <v>731</v>
      </c>
      <c r="O30" s="39" t="s">
        <v>731</v>
      </c>
      <c r="P30" s="39" t="s">
        <v>731</v>
      </c>
      <c r="Q30" s="39" t="s">
        <v>731</v>
      </c>
      <c r="R30" s="39" t="s">
        <v>731</v>
      </c>
      <c r="S30" s="9"/>
      <c r="T30" s="1" t="s">
        <v>72</v>
      </c>
      <c r="U30" s="1" t="s">
        <v>468</v>
      </c>
      <c r="V30" s="9" t="str">
        <f>ROUND('[1]Citoquinas todos los datos'!G68,3)&amp;" - "&amp;ROUND('[1]Citoquinas todos los datos'!G68,3)</f>
        <v>165,53 - 165,53</v>
      </c>
      <c r="W30" s="39" t="s">
        <v>731</v>
      </c>
      <c r="X30" s="39" t="s">
        <v>731</v>
      </c>
      <c r="Y30" s="39" t="s">
        <v>731</v>
      </c>
      <c r="Z30" s="39" t="s">
        <v>731</v>
      </c>
      <c r="AA30" s="39" t="s">
        <v>731</v>
      </c>
      <c r="AB30" s="9"/>
      <c r="AC30" s="1" t="s">
        <v>17</v>
      </c>
      <c r="AD30" s="1" t="s">
        <v>469</v>
      </c>
      <c r="AE30" s="9" t="str">
        <f>ROUND((3*MIN('[1]Citoquinas todos los datos'!G70,'[1]Citoquinas todos los datos'!G73)+MAX('[1]Citoquinas todos los datos'!G70,'[1]Citoquinas todos los datos'!G73))/4,3)&amp;" - "&amp;ROUND((MIN('[1]Citoquinas todos los datos'!G70,'[1]Citoquinas todos los datos'!G73)+3*MAX('[1]Citoquinas todos los datos'!G70,'[1]Citoquinas todos los datos'!G73))/4,3)</f>
        <v>188,535 - 189,465</v>
      </c>
      <c r="AF30" s="39">
        <v>1.0853336396003217</v>
      </c>
      <c r="AG30" s="46">
        <v>0.11813860599277312</v>
      </c>
      <c r="AH30" s="46">
        <v>8.5333639600321689</v>
      </c>
      <c r="AI30" s="46">
        <v>14.860000000000014</v>
      </c>
      <c r="AJ30" s="46">
        <v>4.0920856969763768E-2</v>
      </c>
    </row>
    <row r="31" spans="1:36" x14ac:dyDescent="0.25">
      <c r="A31" s="36" t="s">
        <v>470</v>
      </c>
      <c r="B31" s="1"/>
      <c r="C31" s="1"/>
      <c r="D31" s="9"/>
      <c r="E31" s="9"/>
      <c r="F31" s="1"/>
      <c r="J31" s="1"/>
      <c r="K31" s="1"/>
      <c r="L31" s="1"/>
      <c r="M31" s="9"/>
      <c r="N31" s="9"/>
      <c r="O31" s="9"/>
      <c r="S31" s="9"/>
      <c r="T31" s="1"/>
      <c r="U31" s="1"/>
      <c r="V31" s="9"/>
      <c r="W31" s="9"/>
      <c r="X31" s="9"/>
      <c r="AB31" s="9"/>
      <c r="AC31" s="1"/>
      <c r="AD31" s="1"/>
      <c r="AE31" s="9"/>
      <c r="AF31" s="9"/>
    </row>
    <row r="32" spans="1:36" x14ac:dyDescent="0.25">
      <c r="A32" s="3" t="s">
        <v>14</v>
      </c>
      <c r="B32" s="1" t="s">
        <v>72</v>
      </c>
      <c r="C32" s="1" t="s">
        <v>471</v>
      </c>
      <c r="D32" s="9" t="str">
        <f>ROUND('[1]Citoquinas todos los datos'!H52,3)&amp;" - "&amp;ROUND('[1]Citoquinas todos los datos'!H52,3)</f>
        <v>7,05 - 7,05</v>
      </c>
      <c r="E32" s="39">
        <v>1</v>
      </c>
      <c r="F32" s="40">
        <v>0</v>
      </c>
      <c r="G32" s="40">
        <v>0</v>
      </c>
      <c r="H32" s="40">
        <v>0</v>
      </c>
      <c r="I32" s="40">
        <v>0</v>
      </c>
      <c r="J32" s="1"/>
      <c r="K32" s="1" t="s">
        <v>72</v>
      </c>
      <c r="L32" s="1" t="s">
        <v>472</v>
      </c>
      <c r="M32" s="9" t="str">
        <f>ROUND('[1]Citoquinas todos los datos'!H54,3)&amp;" - "&amp;ROUND('[1]Citoquinas todos los datos'!H54,3)</f>
        <v>7,94 - 7,94</v>
      </c>
      <c r="N32" s="39">
        <v>1</v>
      </c>
      <c r="O32" s="39">
        <v>0</v>
      </c>
      <c r="P32" s="39">
        <v>0</v>
      </c>
      <c r="Q32" s="39">
        <v>0</v>
      </c>
      <c r="R32" s="39">
        <v>0</v>
      </c>
      <c r="S32" s="9"/>
      <c r="T32" s="1" t="s">
        <v>17</v>
      </c>
      <c r="U32" s="1" t="s">
        <v>473</v>
      </c>
      <c r="V32" s="9" t="str">
        <f>ROUND((3*MIN('[1]Citoquinas todos los datos'!H51,'[1]Citoquinas todos los datos'!H55)+MAX('[1]Citoquinas todos los datos'!H51,'[1]Citoquinas todos los datos'!H55))/4,3)&amp;" - "&amp;ROUND((MIN('[1]Citoquinas todos los datos'!H51,'[1]Citoquinas todos los datos'!H55)+3*MAX('[1]Citoquinas todos los datos'!H51,'[1]Citoquinas todos los datos'!H55))/4,3)</f>
        <v>4,69 - 6,53</v>
      </c>
      <c r="W32" s="39">
        <v>1</v>
      </c>
      <c r="X32" s="39">
        <v>0</v>
      </c>
      <c r="Y32" s="39">
        <v>0</v>
      </c>
      <c r="Z32" s="39">
        <v>0</v>
      </c>
      <c r="AA32" s="39">
        <v>0</v>
      </c>
      <c r="AB32" s="9"/>
      <c r="AC32" s="1" t="s">
        <v>72</v>
      </c>
      <c r="AD32" s="1" t="s">
        <v>474</v>
      </c>
      <c r="AE32" s="9" t="str">
        <f>ROUND('[1]Citoquinas todos los datos'!H53,3)&amp;" - "&amp;ROUND('[1]Citoquinas todos los datos'!H53,3)</f>
        <v>4,66 - 4,66</v>
      </c>
      <c r="AF32" s="39">
        <v>1</v>
      </c>
      <c r="AG32" s="46">
        <v>0</v>
      </c>
      <c r="AH32" s="46">
        <v>0</v>
      </c>
      <c r="AI32" s="46">
        <v>0</v>
      </c>
      <c r="AJ32" s="46">
        <v>0</v>
      </c>
    </row>
    <row r="33" spans="1:36" x14ac:dyDescent="0.25">
      <c r="A33" s="3" t="s">
        <v>25</v>
      </c>
      <c r="B33" s="1" t="s">
        <v>17</v>
      </c>
      <c r="C33" s="1" t="s">
        <v>475</v>
      </c>
      <c r="D33" s="9" t="str">
        <f>ROUND((3*MIN('[1]Citoquinas todos los datos'!H80,'[1]Citoquinas todos los datos'!H84)+MAX('[1]Citoquinas todos los datos'!H80,'[1]Citoquinas todos los datos'!H84))/4,3)&amp;" - "&amp;ROUND((MIN('[1]Citoquinas todos los datos'!H80,'[1]Citoquinas todos los datos'!H84)+3*MAX('[1]Citoquinas todos los datos'!H80,'[1]Citoquinas todos los datos'!H84))/4,3)</f>
        <v>2,285 - 2,855</v>
      </c>
      <c r="E33" s="39" t="s">
        <v>731</v>
      </c>
      <c r="F33" s="40" t="s">
        <v>731</v>
      </c>
      <c r="G33" s="40" t="s">
        <v>731</v>
      </c>
      <c r="H33" s="40" t="s">
        <v>731</v>
      </c>
      <c r="I33" s="40" t="s">
        <v>731</v>
      </c>
      <c r="J33" s="1"/>
      <c r="K33" s="1" t="s">
        <v>17</v>
      </c>
      <c r="L33" s="1" t="s">
        <v>476</v>
      </c>
      <c r="M33" s="9" t="str">
        <f>ROUND((3*MIN('[1]Citoquinas todos los datos'!H74,'[1]Citoquinas todos los datos'!H82)+MAX('[1]Citoquinas todos los datos'!H74,'[1]Citoquinas todos los datos'!H82))/4,3)&amp;" - "&amp;ROUND((MIN('[1]Citoquinas todos los datos'!H74,'[1]Citoquinas todos los datos'!H82)+3*MAX('[1]Citoquinas todos los datos'!H74,'[1]Citoquinas todos los datos'!H82))/4,3)</f>
        <v>3,68 - 9,46</v>
      </c>
      <c r="N33" s="39" t="s">
        <v>731</v>
      </c>
      <c r="O33" s="39" t="s">
        <v>731</v>
      </c>
      <c r="P33" s="39" t="s">
        <v>731</v>
      </c>
      <c r="Q33" s="39" t="s">
        <v>731</v>
      </c>
      <c r="R33" s="39" t="s">
        <v>731</v>
      </c>
      <c r="S33" s="9"/>
      <c r="T33" s="1" t="s">
        <v>72</v>
      </c>
      <c r="U33" s="1" t="s">
        <v>477</v>
      </c>
      <c r="V33" s="9" t="str">
        <f>ROUND('[1]Citoquinas todos los datos'!H79,3)&amp;" - "&amp;ROUND('[1]Citoquinas todos los datos'!H79,3)</f>
        <v>0,82 - 0,82</v>
      </c>
      <c r="W33" s="39" t="s">
        <v>731</v>
      </c>
      <c r="X33" s="39" t="s">
        <v>731</v>
      </c>
      <c r="Y33" s="39" t="s">
        <v>731</v>
      </c>
      <c r="Z33" s="39" t="s">
        <v>731</v>
      </c>
      <c r="AA33" s="39" t="s">
        <v>731</v>
      </c>
      <c r="AB33" s="9"/>
      <c r="AC33" s="1" t="s">
        <v>15</v>
      </c>
      <c r="AD33" s="1" t="s">
        <v>478</v>
      </c>
      <c r="AE33" s="9" t="str">
        <f>ROUND((MIN('[1]Citoquinas todos los datos'!H77,'[1]Citoquinas todos los datos'!H81,'[1]Citoquinas todos los datos'!H85)+MEDIAN('[1]Citoquinas todos los datos'!H77,'[1]Citoquinas todos los datos'!H81,'[1]Citoquinas todos los datos'!H85))/2,3)&amp;" - "&amp;ROUND((MEDIAN('[1]Citoquinas todos los datos'!H77,'[1]Citoquinas todos los datos'!H81,'[1]Citoquinas todos los datos'!H85)+MAX('[1]Citoquinas todos los datos'!H77,'[1]Citoquinas todos los datos'!H81,'[1]Citoquinas todos los datos'!H85))/2,3)</f>
        <v>3,825 - 11,645</v>
      </c>
      <c r="AF33" s="39" t="s">
        <v>731</v>
      </c>
      <c r="AG33" s="46" t="s">
        <v>731</v>
      </c>
      <c r="AH33" s="46" t="s">
        <v>731</v>
      </c>
      <c r="AI33" s="46" t="s">
        <v>731</v>
      </c>
      <c r="AJ33" s="46" t="s">
        <v>731</v>
      </c>
    </row>
    <row r="34" spans="1:36" x14ac:dyDescent="0.25">
      <c r="A34" s="3" t="s">
        <v>35</v>
      </c>
      <c r="B34" s="1" t="s">
        <v>15</v>
      </c>
      <c r="C34" s="1" t="s">
        <v>479</v>
      </c>
      <c r="D34" s="9" t="str">
        <f>ROUND((MIN('[1]Citoquinas todos los datos'!H4,'[1]Citoquinas todos los datos'!H8,'[1]Citoquinas todos los datos'!H12)+MEDIAN('[1]Citoquinas todos los datos'!H4,'[1]Citoquinas todos los datos'!H8,'[1]Citoquinas todos los datos'!H12))/2,3)&amp;" - "&amp;ROUND((MEDIAN('[1]Citoquinas todos los datos'!H4,'[1]Citoquinas todos los datos'!H8,'[1]Citoquinas todos los datos'!H12)+MAX('[1]Citoquinas todos los datos'!H4,'[1]Citoquinas todos los datos'!H8,'[1]Citoquinas todos los datos'!H12))/2,3)</f>
        <v>19,76 - 44,06</v>
      </c>
      <c r="E34" s="39" t="s">
        <v>731</v>
      </c>
      <c r="F34" s="40" t="s">
        <v>731</v>
      </c>
      <c r="G34" s="40" t="s">
        <v>731</v>
      </c>
      <c r="H34" s="40" t="s">
        <v>731</v>
      </c>
      <c r="I34" s="40" t="s">
        <v>731</v>
      </c>
      <c r="J34" s="1"/>
      <c r="K34" s="1" t="s">
        <v>17</v>
      </c>
      <c r="L34" s="1" t="s">
        <v>480</v>
      </c>
      <c r="M34" s="9" t="str">
        <f>ROUND((3*MIN('[1]Citoquinas todos los datos'!H2,'[1]Citoquinas todos los datos'!H10)+MAX('[1]Citoquinas todos los datos'!H2,'[1]Citoquinas todos los datos'!H10))/4,3)&amp;" - "&amp;ROUND((MIN('[1]Citoquinas todos los datos'!H2,'[1]Citoquinas todos los datos'!H10)+3*MAX('[1]Citoquinas todos los datos'!H2,'[1]Citoquinas todos los datos'!H10))/4,3)</f>
        <v>4,605 - 8,115</v>
      </c>
      <c r="N34" s="39" t="s">
        <v>731</v>
      </c>
      <c r="O34" s="39" t="s">
        <v>731</v>
      </c>
      <c r="P34" s="39" t="s">
        <v>731</v>
      </c>
      <c r="Q34" s="39" t="s">
        <v>731</v>
      </c>
      <c r="R34" s="39" t="s">
        <v>731</v>
      </c>
      <c r="S34" s="9"/>
      <c r="T34" s="1" t="s">
        <v>63</v>
      </c>
      <c r="U34" s="1" t="s">
        <v>63</v>
      </c>
      <c r="V34" s="9" t="s">
        <v>63</v>
      </c>
      <c r="W34" s="39" t="s">
        <v>731</v>
      </c>
      <c r="X34" s="39" t="s">
        <v>731</v>
      </c>
      <c r="Y34" s="39" t="s">
        <v>731</v>
      </c>
      <c r="Z34" s="39" t="s">
        <v>731</v>
      </c>
      <c r="AA34" s="39" t="s">
        <v>731</v>
      </c>
      <c r="AB34" s="9"/>
      <c r="AC34" s="1" t="s">
        <v>17</v>
      </c>
      <c r="AD34" s="1" t="s">
        <v>481</v>
      </c>
      <c r="AE34" s="9" t="str">
        <f>ROUND((3*MIN('[1]Citoquinas todos los datos'!H9,'[1]Citoquinas todos los datos'!H13)+MAX('[1]Citoquinas todos los datos'!H9,'[1]Citoquinas todos los datos'!H13))/4,3)&amp;" - "&amp;ROUND((MIN('[1]Citoquinas todos los datos'!H9,'[1]Citoquinas todos los datos'!H13)+3*MAX('[1]Citoquinas todos los datos'!H9,'[1]Citoquinas todos los datos'!H13))/4,3)</f>
        <v>2,403 - 3,028</v>
      </c>
      <c r="AF34" s="39" t="s">
        <v>731</v>
      </c>
      <c r="AG34" s="46" t="s">
        <v>731</v>
      </c>
      <c r="AH34" s="46" t="s">
        <v>731</v>
      </c>
      <c r="AI34" s="46" t="s">
        <v>731</v>
      </c>
      <c r="AJ34" s="46" t="s">
        <v>731</v>
      </c>
    </row>
    <row r="35" spans="1:36" x14ac:dyDescent="0.25">
      <c r="A35" s="3" t="s">
        <v>42</v>
      </c>
      <c r="B35" s="1" t="s">
        <v>15</v>
      </c>
      <c r="C35" s="1" t="s">
        <v>482</v>
      </c>
      <c r="D35" s="9" t="str">
        <f>ROUND((MIN('[1]Citoquinas todos los datos'!H16,'[1]Citoquinas todos los datos'!H20,'[1]Citoquinas todos los datos'!H24)+MEDIAN('[1]Citoquinas todos los datos'!H16,'[1]Citoquinas todos los datos'!H20,'[1]Citoquinas todos los datos'!H24))/2,3)&amp;" - "&amp;ROUND((MEDIAN('[1]Citoquinas todos los datos'!H16,'[1]Citoquinas todos los datos'!H20,'[1]Citoquinas todos los datos'!H24)+MAX('[1]Citoquinas todos los datos'!H16,'[1]Citoquinas todos los datos'!H20,'[1]Citoquinas todos los datos'!H24))/2,3)</f>
        <v>3,1 - 13,945</v>
      </c>
      <c r="E35" s="39" t="s">
        <v>731</v>
      </c>
      <c r="F35" s="40" t="s">
        <v>731</v>
      </c>
      <c r="G35" s="40" t="s">
        <v>731</v>
      </c>
      <c r="H35" s="40" t="s">
        <v>731</v>
      </c>
      <c r="I35" s="40" t="s">
        <v>731</v>
      </c>
      <c r="J35" s="1"/>
      <c r="K35" s="1" t="s">
        <v>72</v>
      </c>
      <c r="L35" s="1" t="s">
        <v>483</v>
      </c>
      <c r="M35" s="9" t="str">
        <f>ROUND('[1]Citoquinas todos los datos'!H18,3)&amp;" - "&amp;ROUND('[1]Citoquinas todos los datos'!H18,3)</f>
        <v>17,07 - 17,07</v>
      </c>
      <c r="N35" s="39" t="s">
        <v>731</v>
      </c>
      <c r="O35" s="39" t="s">
        <v>731</v>
      </c>
      <c r="P35" s="39" t="s">
        <v>731</v>
      </c>
      <c r="Q35" s="39" t="s">
        <v>731</v>
      </c>
      <c r="R35" s="39" t="s">
        <v>731</v>
      </c>
      <c r="S35" s="9"/>
      <c r="T35" s="1" t="s">
        <v>15</v>
      </c>
      <c r="U35" s="1" t="s">
        <v>484</v>
      </c>
      <c r="V35" s="9" t="str">
        <f>ROUND((MIN('[1]Citoquinas todos los datos'!H15,'[1]Citoquinas todos los datos'!H19,'[1]Citoquinas todos los datos'!H23)+MEDIAN('[1]Citoquinas todos los datos'!H15,'[1]Citoquinas todos los datos'!H19,'[1]Citoquinas todos los datos'!H23))/2,3)&amp;" - "&amp;ROUND((MEDIAN('[1]Citoquinas todos los datos'!H15,'[1]Citoquinas todos los datos'!H19,'[1]Citoquinas todos los datos'!H23)+MAX('[1]Citoquinas todos los datos'!H15,'[1]Citoquinas todos los datos'!H19,'[1]Citoquinas todos los datos'!H23))/2,3)</f>
        <v>1,68 - 2,58</v>
      </c>
      <c r="W35" s="39">
        <v>0.35710041592394531</v>
      </c>
      <c r="X35" s="39">
        <v>-1.4855982806187638</v>
      </c>
      <c r="Y35" s="39">
        <v>-64.289958407605468</v>
      </c>
      <c r="Z35" s="39">
        <v>-3.6066666666666669</v>
      </c>
      <c r="AA35" s="39">
        <v>-0.4737302977232925</v>
      </c>
      <c r="AB35" s="9"/>
      <c r="AC35" s="1" t="s">
        <v>72</v>
      </c>
      <c r="AD35" s="1" t="s">
        <v>485</v>
      </c>
      <c r="AE35" s="9" t="str">
        <f>ROUND('[1]Citoquinas todos los datos'!H17,3)&amp;" - "&amp;ROUND('[1]Citoquinas todos los datos'!H17,3)</f>
        <v>3,67 - 3,67</v>
      </c>
      <c r="AF35" s="39" t="s">
        <v>731</v>
      </c>
      <c r="AG35" s="46" t="s">
        <v>731</v>
      </c>
      <c r="AH35" s="46" t="s">
        <v>731</v>
      </c>
      <c r="AI35" s="46" t="s">
        <v>731</v>
      </c>
      <c r="AJ35" s="46" t="s">
        <v>731</v>
      </c>
    </row>
    <row r="36" spans="1:36" x14ac:dyDescent="0.25">
      <c r="A36" s="3" t="s">
        <v>48</v>
      </c>
      <c r="B36" s="1" t="s">
        <v>72</v>
      </c>
      <c r="C36" s="1" t="s">
        <v>486</v>
      </c>
      <c r="D36" s="9" t="str">
        <f>ROUND('[1]Citoquinas todos los datos'!H36,3)&amp;" - "&amp;ROUND('[1]Citoquinas todos los datos'!H36,3)</f>
        <v>4,25 - 4,25</v>
      </c>
      <c r="E36" s="39" t="s">
        <v>731</v>
      </c>
      <c r="F36" s="40" t="s">
        <v>731</v>
      </c>
      <c r="G36" s="40" t="s">
        <v>731</v>
      </c>
      <c r="H36" s="40" t="s">
        <v>731</v>
      </c>
      <c r="I36" s="40" t="s">
        <v>731</v>
      </c>
      <c r="J36" s="1"/>
      <c r="K36" s="1" t="s">
        <v>72</v>
      </c>
      <c r="L36" s="1" t="s">
        <v>487</v>
      </c>
      <c r="M36" s="9" t="str">
        <f>ROUND('[1]Citoquinas todos los datos'!H26,3)&amp;" - "&amp;ROUND('[1]Citoquinas todos los datos'!H26,3)</f>
        <v>6,6 - 6,6</v>
      </c>
      <c r="N36" s="39" t="s">
        <v>731</v>
      </c>
      <c r="O36" s="39" t="s">
        <v>731</v>
      </c>
      <c r="P36" s="39" t="s">
        <v>731</v>
      </c>
      <c r="Q36" s="39" t="s">
        <v>731</v>
      </c>
      <c r="R36" s="39" t="s">
        <v>731</v>
      </c>
      <c r="S36" s="9"/>
      <c r="T36" s="1" t="s">
        <v>17</v>
      </c>
      <c r="U36" s="1" t="s">
        <v>488</v>
      </c>
      <c r="V36" s="9" t="str">
        <f>ROUND((3*MIN('[1]Citoquinas todos los datos'!H27,'[1]Citoquinas todos los datos'!H31)+MAX('[1]Citoquinas todos los datos'!H27,'[1]Citoquinas todos los datos'!H31))/4,3)&amp;" - "&amp;ROUND((MIN('[1]Citoquinas todos los datos'!H27,'[1]Citoquinas todos los datos'!H31)+3*MAX('[1]Citoquinas todos los datos'!H27,'[1]Citoquinas todos los datos'!H31))/4,3)</f>
        <v>7,788 - 20,243</v>
      </c>
      <c r="W36" s="39">
        <v>2.4982174688057039</v>
      </c>
      <c r="X36" s="39">
        <v>1.320899068423701</v>
      </c>
      <c r="Y36" s="39">
        <v>149.8217468805704</v>
      </c>
      <c r="Z36" s="39">
        <v>8.4049999999999976</v>
      </c>
      <c r="AA36" s="39">
        <v>0.42828025477706994</v>
      </c>
      <c r="AB36" s="9"/>
      <c r="AC36" s="1" t="s">
        <v>72</v>
      </c>
      <c r="AD36" s="1" t="s">
        <v>489</v>
      </c>
      <c r="AE36" s="9" t="str">
        <f>ROUND('[1]Citoquinas todos los datos'!H37,3)&amp;" - "&amp;ROUND('[1]Citoquinas todos los datos'!H37,3)</f>
        <v>5,62 - 5,62</v>
      </c>
      <c r="AF36" s="39" t="s">
        <v>731</v>
      </c>
      <c r="AG36" s="46" t="s">
        <v>731</v>
      </c>
      <c r="AH36" s="46" t="s">
        <v>731</v>
      </c>
      <c r="AI36" s="46" t="s">
        <v>731</v>
      </c>
      <c r="AJ36" s="46" t="s">
        <v>731</v>
      </c>
    </row>
    <row r="37" spans="1:36" x14ac:dyDescent="0.25">
      <c r="A37" s="3" t="s">
        <v>54</v>
      </c>
      <c r="B37" s="1" t="s">
        <v>63</v>
      </c>
      <c r="C37" s="1" t="s">
        <v>63</v>
      </c>
      <c r="D37" s="9" t="s">
        <v>63</v>
      </c>
      <c r="E37" s="39" t="s">
        <v>731</v>
      </c>
      <c r="F37" s="40" t="s">
        <v>731</v>
      </c>
      <c r="G37" s="40" t="s">
        <v>731</v>
      </c>
      <c r="H37" s="40" t="s">
        <v>731</v>
      </c>
      <c r="I37" s="40" t="s">
        <v>731</v>
      </c>
      <c r="J37" s="1"/>
      <c r="K37" s="1" t="s">
        <v>15</v>
      </c>
      <c r="L37" s="1" t="s">
        <v>490</v>
      </c>
      <c r="M37" s="9" t="str">
        <f>ROUND((MIN('[1]Citoquinas todos los datos'!H38,'[1]Citoquinas todos los datos'!H42,'[1]Citoquinas todos los datos'!H46)+MEDIAN('[1]Citoquinas todos los datos'!H38,'[1]Citoquinas todos los datos'!H42,'[1]Citoquinas todos los datos'!H46))/2,3)&amp;" - "&amp;ROUND((MEDIAN('[1]Citoquinas todos los datos'!H38,'[1]Citoquinas todos los datos'!H42,'[1]Citoquinas todos los datos'!H46)+MAX('[1]Citoquinas todos los datos'!H38,'[1]Citoquinas todos los datos'!H42,'[1]Citoquinas todos los datos'!H46))/2,3)</f>
        <v>5,54 - 10,34</v>
      </c>
      <c r="N37" s="39" t="s">
        <v>731</v>
      </c>
      <c r="O37" s="39" t="s">
        <v>731</v>
      </c>
      <c r="P37" s="39" t="s">
        <v>731</v>
      </c>
      <c r="Q37" s="39" t="s">
        <v>731</v>
      </c>
      <c r="R37" s="39" t="s">
        <v>731</v>
      </c>
      <c r="S37" s="9"/>
      <c r="T37" s="1" t="s">
        <v>17</v>
      </c>
      <c r="U37" s="1" t="s">
        <v>491</v>
      </c>
      <c r="V37" s="9" t="str">
        <f>ROUND((3*MIN('[1]Citoquinas todos los datos'!H43,'[1]Citoquinas todos los datos'!H47)+MAX('[1]Citoquinas todos los datos'!H43,'[1]Citoquinas todos los datos'!H47))/4,3)&amp;" - "&amp;ROUND((MIN('[1]Citoquinas todos los datos'!H43,'[1]Citoquinas todos los datos'!H47)+3*MAX('[1]Citoquinas todos los datos'!H43,'[1]Citoquinas todos los datos'!H47))/4,3)</f>
        <v>0,64 - 1,2</v>
      </c>
      <c r="W37" s="39">
        <v>0.1639928698752228</v>
      </c>
      <c r="X37" s="39">
        <v>-2.6082950045517803</v>
      </c>
      <c r="Y37" s="39">
        <v>-83.600713012477726</v>
      </c>
      <c r="Z37" s="39">
        <v>-4.6900000000000004</v>
      </c>
      <c r="AA37" s="39">
        <v>-0.7182235834609495</v>
      </c>
      <c r="AB37" s="9"/>
      <c r="AC37" s="1" t="s">
        <v>17</v>
      </c>
      <c r="AD37" s="1" t="s">
        <v>492</v>
      </c>
      <c r="AE37" s="9" t="str">
        <f>ROUND((3*MIN('[1]Citoquinas todos los datos'!H45,'[1]Citoquinas todos los datos'!H49)+MAX('[1]Citoquinas todos los datos'!H45,'[1]Citoquinas todos los datos'!H49))/4,3)&amp;" - "&amp;ROUND((MIN('[1]Citoquinas todos los datos'!H45,'[1]Citoquinas todos los datos'!H49)+3*MAX('[1]Citoquinas todos los datos'!H45,'[1]Citoquinas todos los datos'!H49))/4,3)</f>
        <v>3,873 - 6,918</v>
      </c>
      <c r="AF37" s="39" t="s">
        <v>731</v>
      </c>
      <c r="AG37" s="46" t="s">
        <v>731</v>
      </c>
      <c r="AH37" s="46" t="s">
        <v>731</v>
      </c>
      <c r="AI37" s="46" t="s">
        <v>731</v>
      </c>
      <c r="AJ37" s="46" t="s">
        <v>731</v>
      </c>
    </row>
    <row r="38" spans="1:36" x14ac:dyDescent="0.25">
      <c r="A38" s="3" t="s">
        <v>59</v>
      </c>
      <c r="B38" s="1" t="s">
        <v>17</v>
      </c>
      <c r="C38" s="1" t="s">
        <v>493</v>
      </c>
      <c r="D38" s="9" t="str">
        <f>ROUND((3*MIN('[1]Citoquinas todos los datos'!H63,'[1]Citoquinas todos los datos'!H66)+MAX('[1]Citoquinas todos los datos'!H63,'[1]Citoquinas todos los datos'!H66))/4,3)&amp;" - "&amp;ROUND((MIN('[1]Citoquinas todos los datos'!H63,'[1]Citoquinas todos los datos'!H66)+3*MAX('[1]Citoquinas todos los datos'!H63,'[1]Citoquinas todos los datos'!H66))/4,3)</f>
        <v>4,425 - 4,735</v>
      </c>
      <c r="E38" s="39" t="s">
        <v>731</v>
      </c>
      <c r="F38" s="40" t="s">
        <v>731</v>
      </c>
      <c r="G38" s="40" t="s">
        <v>731</v>
      </c>
      <c r="H38" s="40" t="s">
        <v>731</v>
      </c>
      <c r="I38" s="40" t="s">
        <v>731</v>
      </c>
      <c r="J38" s="1"/>
      <c r="K38" s="1" t="s">
        <v>72</v>
      </c>
      <c r="L38" s="1" t="s">
        <v>494</v>
      </c>
      <c r="M38" s="9" t="str">
        <f>ROUND('[1]Citoquinas todos los datos'!H65,3)&amp;" - "&amp;ROUND('[1]Citoquinas todos los datos'!H65,3)</f>
        <v>6,13 - 6,13</v>
      </c>
      <c r="N38" s="39" t="s">
        <v>731</v>
      </c>
      <c r="O38" s="39" t="s">
        <v>731</v>
      </c>
      <c r="P38" s="39" t="s">
        <v>731</v>
      </c>
      <c r="Q38" s="39" t="s">
        <v>731</v>
      </c>
      <c r="R38" s="39" t="s">
        <v>731</v>
      </c>
      <c r="S38" s="9"/>
      <c r="T38" s="1" t="s">
        <v>72</v>
      </c>
      <c r="U38" s="1" t="s">
        <v>494</v>
      </c>
      <c r="V38" s="9" t="str">
        <f>ROUND('[1]Citoquinas todos los datos'!H65,3)&amp;" - "&amp;ROUND('[1]Citoquinas todos los datos'!H65,3)</f>
        <v>6,13 - 6,13</v>
      </c>
      <c r="W38" s="39" t="s">
        <v>731</v>
      </c>
      <c r="X38" s="39" t="s">
        <v>731</v>
      </c>
      <c r="Y38" s="39" t="s">
        <v>731</v>
      </c>
      <c r="Z38" s="39" t="s">
        <v>731</v>
      </c>
      <c r="AA38" s="39" t="s">
        <v>731</v>
      </c>
      <c r="AB38" s="9"/>
      <c r="AC38" s="1" t="s">
        <v>63</v>
      </c>
      <c r="AD38" s="1" t="s">
        <v>63</v>
      </c>
      <c r="AE38" s="9" t="s">
        <v>63</v>
      </c>
      <c r="AF38" s="39" t="s">
        <v>731</v>
      </c>
      <c r="AG38" s="46" t="s">
        <v>731</v>
      </c>
      <c r="AH38" s="46" t="s">
        <v>731</v>
      </c>
      <c r="AI38" s="46" t="s">
        <v>731</v>
      </c>
      <c r="AJ38" s="46" t="s">
        <v>731</v>
      </c>
    </row>
    <row r="39" spans="1:36" x14ac:dyDescent="0.25">
      <c r="A39" s="3" t="s">
        <v>64</v>
      </c>
      <c r="B39" s="1" t="s">
        <v>72</v>
      </c>
      <c r="C39" s="1" t="s">
        <v>495</v>
      </c>
      <c r="D39" s="9" t="str">
        <f>ROUND('[1]Citoquinas todos los datos'!H69,3)&amp;" - "&amp;ROUND('[1]Citoquinas todos los datos'!H69,3)</f>
        <v>14,09 - 14,09</v>
      </c>
      <c r="E39" s="39" t="s">
        <v>731</v>
      </c>
      <c r="F39" s="40" t="s">
        <v>731</v>
      </c>
      <c r="G39" s="40" t="s">
        <v>731</v>
      </c>
      <c r="H39" s="40" t="s">
        <v>731</v>
      </c>
      <c r="I39" s="40" t="s">
        <v>731</v>
      </c>
      <c r="J39" s="1"/>
      <c r="K39" s="1" t="s">
        <v>72</v>
      </c>
      <c r="L39" s="1" t="s">
        <v>496</v>
      </c>
      <c r="M39" s="9" t="str">
        <f>ROUND('[1]Citoquinas todos los datos'!H68,3)&amp;" - "&amp;ROUND('[1]Citoquinas todos los datos'!H68,3)</f>
        <v>2,57 - 2,57</v>
      </c>
      <c r="N39" s="39" t="s">
        <v>731</v>
      </c>
      <c r="O39" s="39" t="s">
        <v>731</v>
      </c>
      <c r="P39" s="39" t="s">
        <v>731</v>
      </c>
      <c r="Q39" s="39" t="s">
        <v>731</v>
      </c>
      <c r="R39" s="39" t="s">
        <v>731</v>
      </c>
      <c r="S39" s="9"/>
      <c r="T39" s="1" t="s">
        <v>72</v>
      </c>
      <c r="U39" s="1" t="s">
        <v>496</v>
      </c>
      <c r="V39" s="9" t="str">
        <f>ROUND('[1]Citoquinas todos los datos'!H68,3)&amp;" - "&amp;ROUND('[1]Citoquinas todos los datos'!H68,3)</f>
        <v>2,57 - 2,57</v>
      </c>
      <c r="W39" s="39" t="s">
        <v>731</v>
      </c>
      <c r="X39" s="39" t="s">
        <v>731</v>
      </c>
      <c r="Y39" s="39" t="s">
        <v>731</v>
      </c>
      <c r="Z39" s="39" t="s">
        <v>731</v>
      </c>
      <c r="AA39" s="39" t="s">
        <v>731</v>
      </c>
      <c r="AB39" s="9"/>
      <c r="AC39" s="1" t="s">
        <v>63</v>
      </c>
      <c r="AD39" s="1" t="s">
        <v>63</v>
      </c>
      <c r="AE39" s="9" t="s">
        <v>63</v>
      </c>
      <c r="AF39" s="39" t="s">
        <v>731</v>
      </c>
      <c r="AG39" s="46" t="s">
        <v>731</v>
      </c>
      <c r="AH39" s="46" t="s">
        <v>731</v>
      </c>
      <c r="AI39" s="46" t="s">
        <v>731</v>
      </c>
      <c r="AJ39" s="46" t="s">
        <v>731</v>
      </c>
    </row>
    <row r="40" spans="1:36" x14ac:dyDescent="0.25">
      <c r="A40" s="35" t="s">
        <v>497</v>
      </c>
      <c r="B40" s="1"/>
      <c r="C40" s="1"/>
      <c r="D40" s="9"/>
      <c r="E40" s="9"/>
      <c r="F40" s="1"/>
      <c r="J40" s="1"/>
      <c r="K40" s="1"/>
      <c r="L40" s="1"/>
      <c r="M40" s="9"/>
      <c r="N40" s="9"/>
      <c r="O40" s="9"/>
      <c r="S40" s="9"/>
      <c r="T40" s="1"/>
      <c r="U40" s="1"/>
      <c r="V40" s="9"/>
      <c r="W40" s="9"/>
      <c r="X40" s="9"/>
      <c r="AB40" s="9"/>
      <c r="AC40" s="1"/>
      <c r="AD40" s="1"/>
      <c r="AE40" s="9"/>
      <c r="AF40" s="9"/>
    </row>
    <row r="41" spans="1:36" x14ac:dyDescent="0.25">
      <c r="A41" s="3" t="s">
        <v>14</v>
      </c>
      <c r="B41" s="1" t="s">
        <v>17</v>
      </c>
      <c r="C41" s="1" t="s">
        <v>498</v>
      </c>
      <c r="D41" s="9" t="str">
        <f>ROUND((3*MIN('[1]Citoquinas todos los datos'!I52,'[1]Citoquinas todos los datos'!I56)+MAX('[1]Citoquinas todos los datos'!I52,'[1]Citoquinas todos los datos'!I56))/4,3)&amp;" - "&amp;ROUND((MIN('[1]Citoquinas todos los datos'!I52,'[1]Citoquinas todos los datos'!I56)+3*MAX('[1]Citoquinas todos los datos'!I52,'[1]Citoquinas todos los datos'!I56))/4,3)</f>
        <v>135,178 - 358,613</v>
      </c>
      <c r="E41" s="39">
        <v>1</v>
      </c>
      <c r="F41" s="40">
        <v>0</v>
      </c>
      <c r="G41" s="40">
        <v>0</v>
      </c>
      <c r="H41" s="40">
        <v>0</v>
      </c>
      <c r="I41" s="40">
        <v>0</v>
      </c>
      <c r="J41" s="1"/>
      <c r="K41" s="1" t="s">
        <v>17</v>
      </c>
      <c r="L41" s="1" t="s">
        <v>499</v>
      </c>
      <c r="M41" s="9" t="str">
        <f>ROUND((3*MIN('[1]Citoquinas todos los datos'!I54,'[1]Citoquinas todos los datos'!I58)+MAX('[1]Citoquinas todos los datos'!I54,'[1]Citoquinas todos los datos'!I58))/4,3)&amp;" - "&amp;ROUND((MIN('[1]Citoquinas todos los datos'!I54,'[1]Citoquinas todos los datos'!I58)+3*MAX('[1]Citoquinas todos los datos'!I54,'[1]Citoquinas todos los datos'!I58))/4,3)</f>
        <v>23,088 - 24,303</v>
      </c>
      <c r="N41" s="39">
        <v>1</v>
      </c>
      <c r="O41" s="39">
        <v>0</v>
      </c>
      <c r="P41" s="39">
        <v>0</v>
      </c>
      <c r="Q41" s="39">
        <v>0</v>
      </c>
      <c r="R41" s="39">
        <v>0</v>
      </c>
      <c r="S41" s="9"/>
      <c r="T41" s="1" t="s">
        <v>17</v>
      </c>
      <c r="U41" s="1" t="s">
        <v>500</v>
      </c>
      <c r="V41" s="9" t="str">
        <f>ROUND((3*MIN('[1]Citoquinas todos los datos'!I51,'[1]Citoquinas todos los datos'!I55)+MAX('[1]Citoquinas todos los datos'!I51,'[1]Citoquinas todos los datos'!I55))/4,3)&amp;" - "&amp;ROUND((MIN('[1]Citoquinas todos los datos'!I51,'[1]Citoquinas todos los datos'!I55)+3*MAX('[1]Citoquinas todos los datos'!I51,'[1]Citoquinas todos los datos'!I55))/4,3)</f>
        <v>20,973 - 36,278</v>
      </c>
      <c r="W41" s="39">
        <v>1</v>
      </c>
      <c r="X41" s="39">
        <v>0</v>
      </c>
      <c r="Y41" s="39">
        <v>0</v>
      </c>
      <c r="Z41" s="39">
        <v>0</v>
      </c>
      <c r="AA41" s="39">
        <v>0</v>
      </c>
      <c r="AB41" s="9"/>
      <c r="AC41" s="1" t="s">
        <v>63</v>
      </c>
      <c r="AD41" s="1" t="s">
        <v>63</v>
      </c>
      <c r="AE41" s="9" t="s">
        <v>63</v>
      </c>
      <c r="AF41" s="39" t="s">
        <v>731</v>
      </c>
      <c r="AG41" s="46" t="s">
        <v>731</v>
      </c>
      <c r="AH41" s="46" t="s">
        <v>731</v>
      </c>
      <c r="AI41" s="46" t="s">
        <v>731</v>
      </c>
      <c r="AJ41" s="46" t="s">
        <v>731</v>
      </c>
    </row>
    <row r="42" spans="1:36" x14ac:dyDescent="0.25">
      <c r="A42" s="3" t="s">
        <v>25</v>
      </c>
      <c r="B42" s="1" t="s">
        <v>17</v>
      </c>
      <c r="C42" s="1" t="s">
        <v>501</v>
      </c>
      <c r="D42" s="9" t="str">
        <f>ROUND((3*MIN('[1]Citoquinas todos los datos'!I76,'[1]Citoquinas todos los datos'!I80)+MAX('[1]Citoquinas todos los datos'!I76,'[1]Citoquinas todos los datos'!I80))/4,3)&amp;" - "&amp;ROUND((MIN('[1]Citoquinas todos los datos'!I76,'[1]Citoquinas todos los datos'!I80)+3*MAX('[1]Citoquinas todos los datos'!I76,'[1]Citoquinas todos los datos'!I80))/4,3)</f>
        <v>42,203 - 43,628</v>
      </c>
      <c r="E42" s="39">
        <v>0.17381882986694752</v>
      </c>
      <c r="F42" s="40">
        <v>-2.5243437165085028</v>
      </c>
      <c r="G42" s="40">
        <v>-82.618117013305252</v>
      </c>
      <c r="H42" s="40">
        <v>-203.97999999999996</v>
      </c>
      <c r="I42" s="40">
        <v>-0.70384044718953787</v>
      </c>
      <c r="J42" s="1"/>
      <c r="K42" s="1" t="s">
        <v>72</v>
      </c>
      <c r="L42" s="1" t="s">
        <v>502</v>
      </c>
      <c r="M42" s="9" t="str">
        <f>ROUND('[1]Citoquinas todos los datos'!I74,3)&amp;" - "&amp;ROUND('[1]Citoquinas todos los datos'!I74,3)</f>
        <v>31,25 - 31,25</v>
      </c>
      <c r="N42" s="39" t="s">
        <v>731</v>
      </c>
      <c r="O42" s="39" t="s">
        <v>731</v>
      </c>
      <c r="P42" s="39" t="s">
        <v>731</v>
      </c>
      <c r="Q42" s="39" t="s">
        <v>731</v>
      </c>
      <c r="R42" s="39" t="s">
        <v>731</v>
      </c>
      <c r="S42" s="9"/>
      <c r="T42" s="1" t="s">
        <v>17</v>
      </c>
      <c r="U42" s="1" t="s">
        <v>503</v>
      </c>
      <c r="V42" s="9" t="str">
        <f>ROUND((3*MIN('[1]Citoquinas todos los datos'!I75,'[1]Citoquinas todos los datos'!I83)+MAX('[1]Citoquinas todos los datos'!I75,'[1]Citoquinas todos los datos'!I83))/4,3)&amp;" - "&amp;ROUND((MIN('[1]Citoquinas todos los datos'!I75,'[1]Citoquinas todos los datos'!I83)+3*MAX('[1]Citoquinas todos los datos'!I75,'[1]Citoquinas todos los datos'!I83))/4,3)</f>
        <v>18,558 - 26,673</v>
      </c>
      <c r="W42" s="39">
        <v>0.79004366812227078</v>
      </c>
      <c r="X42" s="39">
        <v>-0.33999569724025741</v>
      </c>
      <c r="Y42" s="39">
        <v>-20.995633187772921</v>
      </c>
      <c r="Z42" s="39">
        <v>-6.009999999999998</v>
      </c>
      <c r="AA42" s="39">
        <v>-0.11729117876658855</v>
      </c>
      <c r="AB42" s="9"/>
      <c r="AC42" s="1" t="s">
        <v>63</v>
      </c>
      <c r="AD42" s="1" t="s">
        <v>63</v>
      </c>
      <c r="AE42" s="9" t="s">
        <v>63</v>
      </c>
      <c r="AF42" s="39" t="s">
        <v>731</v>
      </c>
      <c r="AG42" s="46" t="s">
        <v>731</v>
      </c>
      <c r="AH42" s="46" t="s">
        <v>731</v>
      </c>
      <c r="AI42" s="46" t="s">
        <v>731</v>
      </c>
      <c r="AJ42" s="46" t="s">
        <v>731</v>
      </c>
    </row>
    <row r="43" spans="1:36" x14ac:dyDescent="0.25">
      <c r="A43" s="3" t="s">
        <v>35</v>
      </c>
      <c r="B43" s="1" t="s">
        <v>17</v>
      </c>
      <c r="C43" s="1" t="s">
        <v>504</v>
      </c>
      <c r="D43" s="9" t="str">
        <f>ROUND((3*MIN('[1]Citoquinas todos los datos'!I4,'[1]Citoquinas todos los datos'!I12)+MAX('[1]Citoquinas todos los datos'!I4,'[1]Citoquinas todos los datos'!I12))/4,3)&amp;" - "&amp;ROUND((MIN('[1]Citoquinas todos los datos'!I4,'[1]Citoquinas todos los datos'!I12)+3*MAX('[1]Citoquinas todos los datos'!I4,'[1]Citoquinas todos los datos'!I12))/4,3)</f>
        <v>39,275 - 48,965</v>
      </c>
      <c r="E43" s="39">
        <v>0.17869944713339683</v>
      </c>
      <c r="F43" s="40">
        <v>-2.4843929239614591</v>
      </c>
      <c r="G43" s="40">
        <v>-82.130055286660323</v>
      </c>
      <c r="H43" s="40">
        <v>-202.77499999999998</v>
      </c>
      <c r="I43" s="40">
        <v>-0.69678538906929188</v>
      </c>
      <c r="J43" s="1"/>
      <c r="K43" s="1" t="s">
        <v>63</v>
      </c>
      <c r="L43" s="1" t="s">
        <v>63</v>
      </c>
      <c r="M43" s="9" t="s">
        <v>63</v>
      </c>
      <c r="N43" s="39" t="s">
        <v>731</v>
      </c>
      <c r="O43" s="39" t="s">
        <v>731</v>
      </c>
      <c r="P43" s="39" t="s">
        <v>731</v>
      </c>
      <c r="Q43" s="39" t="s">
        <v>731</v>
      </c>
      <c r="R43" s="39" t="s">
        <v>731</v>
      </c>
      <c r="S43" s="9"/>
      <c r="T43" s="1" t="s">
        <v>17</v>
      </c>
      <c r="U43" s="1" t="s">
        <v>505</v>
      </c>
      <c r="V43" s="9" t="str">
        <f>ROUND((3*MIN('[1]Citoquinas todos los datos'!I3,'[1]Citoquinas todos los datos'!I11)+MAX('[1]Citoquinas todos los datos'!I3,'[1]Citoquinas todos los datos'!I11))/4,3)&amp;" - "&amp;ROUND((MIN('[1]Citoquinas todos los datos'!I3,'[1]Citoquinas todos los datos'!I11)+3*MAX('[1]Citoquinas todos los datos'!I3,'[1]Citoquinas todos los datos'!I11))/4,3)</f>
        <v>42,235 - 42,545</v>
      </c>
      <c r="W43" s="39">
        <v>1.4808733624454149</v>
      </c>
      <c r="X43" s="39">
        <v>0.56644827318342694</v>
      </c>
      <c r="Y43" s="39">
        <v>48.08733624454149</v>
      </c>
      <c r="Z43" s="39">
        <v>13.765000000000001</v>
      </c>
      <c r="AA43" s="39">
        <v>0.19383228895303808</v>
      </c>
      <c r="AB43" s="9"/>
      <c r="AC43" s="1" t="s">
        <v>63</v>
      </c>
      <c r="AD43" s="1" t="s">
        <v>63</v>
      </c>
      <c r="AE43" s="9" t="s">
        <v>63</v>
      </c>
      <c r="AF43" s="39" t="s">
        <v>731</v>
      </c>
      <c r="AG43" s="46" t="s">
        <v>731</v>
      </c>
      <c r="AH43" s="46" t="s">
        <v>731</v>
      </c>
      <c r="AI43" s="46" t="s">
        <v>731</v>
      </c>
      <c r="AJ43" s="46" t="s">
        <v>731</v>
      </c>
    </row>
    <row r="44" spans="1:36" x14ac:dyDescent="0.25">
      <c r="A44" s="3" t="s">
        <v>42</v>
      </c>
      <c r="B44" s="1" t="s">
        <v>63</v>
      </c>
      <c r="C44" s="1" t="s">
        <v>63</v>
      </c>
      <c r="D44" s="9" t="s">
        <v>63</v>
      </c>
      <c r="E44" s="39" t="s">
        <v>731</v>
      </c>
      <c r="F44" s="40" t="s">
        <v>731</v>
      </c>
      <c r="G44" s="40" t="s">
        <v>731</v>
      </c>
      <c r="H44" s="40" t="s">
        <v>731</v>
      </c>
      <c r="I44" s="40" t="s">
        <v>731</v>
      </c>
      <c r="J44" s="1"/>
      <c r="K44" s="1" t="s">
        <v>17</v>
      </c>
      <c r="L44" s="1" t="s">
        <v>506</v>
      </c>
      <c r="M44" s="9" t="str">
        <f>ROUND((3*MIN('[1]Citoquinas todos los datos'!I14,'[1]Citoquinas todos los datos'!I18)+MAX('[1]Citoquinas todos los datos'!I14,'[1]Citoquinas todos los datos'!I18))/4,3)&amp;" - "&amp;ROUND((MIN('[1]Citoquinas todos los datos'!I14,'[1]Citoquinas todos los datos'!I18)+3*MAX('[1]Citoquinas todos los datos'!I14,'[1]Citoquinas todos los datos'!I18))/4,3)</f>
        <v>13,75 - 24,95</v>
      </c>
      <c r="N44" s="39">
        <v>0.81662798058662167</v>
      </c>
      <c r="O44" s="39">
        <v>-0.29224909460082815</v>
      </c>
      <c r="P44" s="39">
        <v>-18.337201941337831</v>
      </c>
      <c r="Q44" s="39">
        <v>-4.3449999999999989</v>
      </c>
      <c r="R44" s="39">
        <v>-0.10094087582762222</v>
      </c>
      <c r="S44" s="9"/>
      <c r="T44" s="1" t="s">
        <v>72</v>
      </c>
      <c r="U44" s="1" t="s">
        <v>507</v>
      </c>
      <c r="V44" s="9" t="str">
        <f>ROUND('[1]Citoquinas todos los datos'!I19,3)&amp;" - "&amp;ROUND('[1]Citoquinas todos los datos'!I19,3)</f>
        <v>4,64 - 4,64</v>
      </c>
      <c r="W44" s="39" t="s">
        <v>731</v>
      </c>
      <c r="X44" s="39" t="s">
        <v>731</v>
      </c>
      <c r="Y44" s="39" t="s">
        <v>731</v>
      </c>
      <c r="Z44" s="39" t="s">
        <v>731</v>
      </c>
      <c r="AA44" s="39" t="s">
        <v>731</v>
      </c>
      <c r="AB44" s="9"/>
      <c r="AC44" s="1" t="s">
        <v>72</v>
      </c>
      <c r="AD44" s="1" t="s">
        <v>508</v>
      </c>
      <c r="AE44" s="9" t="str">
        <f>ROUND('[1]Citoquinas todos los datos'!I17,3)&amp;" - "&amp;ROUND('[1]Citoquinas todos los datos'!I17,3)</f>
        <v>17,01 - 17,01</v>
      </c>
      <c r="AF44" s="39" t="s">
        <v>731</v>
      </c>
      <c r="AG44" s="46" t="s">
        <v>731</v>
      </c>
      <c r="AH44" s="46" t="s">
        <v>731</v>
      </c>
      <c r="AI44" s="46" t="s">
        <v>731</v>
      </c>
      <c r="AJ44" s="46" t="s">
        <v>731</v>
      </c>
    </row>
    <row r="45" spans="1:36" x14ac:dyDescent="0.25">
      <c r="A45" s="3" t="s">
        <v>48</v>
      </c>
      <c r="B45" s="1" t="s">
        <v>17</v>
      </c>
      <c r="C45" s="1" t="s">
        <v>509</v>
      </c>
      <c r="D45" s="9" t="str">
        <f>ROUND((3*MIN('[1]Citoquinas todos los datos'!I28,'[1]Citoquinas todos los datos'!I32)+MAX('[1]Citoquinas todos los datos'!I28,'[1]Citoquinas todos los datos'!I32))/4,3)&amp;" - "&amp;ROUND((MIN('[1]Citoquinas todos los datos'!I28,'[1]Citoquinas todos los datos'!I32)+3*MAX('[1]Citoquinas todos los datos'!I28,'[1]Citoquinas todos los datos'!I32))/4,3)</f>
        <v>40,09 - 62,19</v>
      </c>
      <c r="E45" s="39">
        <v>0.20713258672715124</v>
      </c>
      <c r="F45" s="40">
        <v>-2.271373554311193</v>
      </c>
      <c r="G45" s="40">
        <v>-79.286741327284886</v>
      </c>
      <c r="H45" s="40">
        <v>-195.755</v>
      </c>
      <c r="I45" s="40">
        <v>-0.65681883000318764</v>
      </c>
      <c r="J45" s="1"/>
      <c r="K45" s="1" t="s">
        <v>63</v>
      </c>
      <c r="L45" s="1" t="s">
        <v>63</v>
      </c>
      <c r="M45" s="9" t="s">
        <v>63</v>
      </c>
      <c r="N45" s="39" t="s">
        <v>731</v>
      </c>
      <c r="O45" s="39" t="s">
        <v>731</v>
      </c>
      <c r="P45" s="39" t="s">
        <v>731</v>
      </c>
      <c r="Q45" s="39" t="s">
        <v>731</v>
      </c>
      <c r="R45" s="39" t="s">
        <v>731</v>
      </c>
      <c r="S45" s="9"/>
      <c r="T45" s="1" t="s">
        <v>17</v>
      </c>
      <c r="U45" s="1" t="s">
        <v>510</v>
      </c>
      <c r="V45" s="9" t="str">
        <f>ROUND((3*MIN('[1]Citoquinas todos los datos'!I27,'[1]Citoquinas todos los datos'!I31)+MAX('[1]Citoquinas todos los datos'!I27,'[1]Citoquinas todos los datos'!I31))/4,3)&amp;" - "&amp;ROUND((MIN('[1]Citoquinas todos los datos'!I27,'[1]Citoquinas todos los datos'!I31)+3*MAX('[1]Citoquinas todos los datos'!I27,'[1]Citoquinas todos los datos'!I31))/4,3)</f>
        <v>12,375 - 13,045</v>
      </c>
      <c r="W45" s="39">
        <v>0.44401746724890834</v>
      </c>
      <c r="X45" s="39">
        <v>-1.1713116628667095</v>
      </c>
      <c r="Y45" s="39">
        <v>-55.598253275109165</v>
      </c>
      <c r="Z45" s="39">
        <v>-15.914999999999999</v>
      </c>
      <c r="AA45" s="39">
        <v>-0.38502479738720208</v>
      </c>
      <c r="AB45" s="9"/>
      <c r="AC45" s="1" t="s">
        <v>17</v>
      </c>
      <c r="AD45" s="1" t="s">
        <v>511</v>
      </c>
      <c r="AE45" s="9" t="str">
        <f>ROUND((3*MIN('[1]Citoquinas todos los datos'!I33,'[1]Citoquinas todos los datos'!I37)+MAX('[1]Citoquinas todos los datos'!I33,'[1]Citoquinas todos los datos'!I37))/4,3)&amp;" - "&amp;ROUND((MIN('[1]Citoquinas todos los datos'!I33,'[1]Citoquinas todos los datos'!I37)+3*MAX('[1]Citoquinas todos los datos'!I33,'[1]Citoquinas todos los datos'!I37))/4,3)</f>
        <v>19,23 - 20,97</v>
      </c>
      <c r="AF45" s="39" t="s">
        <v>731</v>
      </c>
      <c r="AG45" s="46" t="s">
        <v>731</v>
      </c>
      <c r="AH45" s="46" t="s">
        <v>731</v>
      </c>
      <c r="AI45" s="46" t="s">
        <v>731</v>
      </c>
      <c r="AJ45" s="46" t="s">
        <v>731</v>
      </c>
    </row>
    <row r="46" spans="1:36" x14ac:dyDescent="0.25">
      <c r="A46" s="3" t="s">
        <v>54</v>
      </c>
      <c r="B46" s="1" t="s">
        <v>17</v>
      </c>
      <c r="C46" s="1" t="s">
        <v>512</v>
      </c>
      <c r="D46" s="9" t="str">
        <f>ROUND((3*MIN('[1]Citoquinas todos los datos'!I40,'[1]Citoquinas todos los datos'!I44)+MAX('[1]Citoquinas todos los datos'!I40,'[1]Citoquinas todos los datos'!I44))/4,3)&amp;" - "&amp;ROUND((MIN('[1]Citoquinas todos los datos'!I40,'[1]Citoquinas todos los datos'!I44)+3*MAX('[1]Citoquinas todos los datos'!I40,'[1]Citoquinas todos los datos'!I44))/4,3)</f>
        <v>17,34 - 26,5</v>
      </c>
      <c r="E46" s="39">
        <v>8.8782680896737479E-2</v>
      </c>
      <c r="F46" s="40">
        <v>-3.4935779165923155</v>
      </c>
      <c r="G46" s="40">
        <v>-91.121731910326247</v>
      </c>
      <c r="H46" s="40">
        <v>-224.97499999999999</v>
      </c>
      <c r="I46" s="40">
        <v>-0.83691386269367407</v>
      </c>
      <c r="J46" s="1"/>
      <c r="K46" s="1" t="s">
        <v>17</v>
      </c>
      <c r="L46" s="1" t="s">
        <v>513</v>
      </c>
      <c r="M46" s="9" t="str">
        <f>ROUND((3*MIN('[1]Citoquinas todos los datos'!I38,'[1]Citoquinas todos los datos'!I46)+MAX('[1]Citoquinas todos los datos'!I38,'[1]Citoquinas todos los datos'!I46))/4,3)&amp;" - "&amp;ROUND((MIN('[1]Citoquinas todos los datos'!I38,'[1]Citoquinas todos los datos'!I46)+3*MAX('[1]Citoquinas todos los datos'!I38,'[1]Citoquinas todos los datos'!I46))/4,3)</f>
        <v>11,845 - 20,455</v>
      </c>
      <c r="N46" s="39">
        <v>0.6815783920658367</v>
      </c>
      <c r="O46" s="39">
        <v>-0.55304849605131357</v>
      </c>
      <c r="P46" s="39">
        <v>-31.84216079341633</v>
      </c>
      <c r="Q46" s="39">
        <v>-7.5449999999999982</v>
      </c>
      <c r="R46" s="39">
        <v>-0.18935876521520889</v>
      </c>
      <c r="S46" s="9"/>
      <c r="T46" s="1" t="s">
        <v>63</v>
      </c>
      <c r="U46" s="1" t="s">
        <v>63</v>
      </c>
      <c r="V46" s="9" t="s">
        <v>63</v>
      </c>
      <c r="W46" s="39" t="s">
        <v>731</v>
      </c>
      <c r="X46" s="39" t="s">
        <v>731</v>
      </c>
      <c r="Y46" s="39" t="s">
        <v>731</v>
      </c>
      <c r="Z46" s="39" t="s">
        <v>731</v>
      </c>
      <c r="AA46" s="39" t="s">
        <v>731</v>
      </c>
      <c r="AB46" s="9"/>
      <c r="AC46" s="1" t="s">
        <v>63</v>
      </c>
      <c r="AD46" s="1" t="s">
        <v>63</v>
      </c>
      <c r="AE46" s="9" t="s">
        <v>63</v>
      </c>
      <c r="AF46" s="39" t="s">
        <v>731</v>
      </c>
      <c r="AG46" s="46" t="s">
        <v>731</v>
      </c>
      <c r="AH46" s="46" t="s">
        <v>731</v>
      </c>
      <c r="AI46" s="46" t="s">
        <v>731</v>
      </c>
      <c r="AJ46" s="46" t="s">
        <v>731</v>
      </c>
    </row>
    <row r="47" spans="1:36" x14ac:dyDescent="0.25">
      <c r="A47" s="3" t="s">
        <v>59</v>
      </c>
      <c r="B47" s="1" t="s">
        <v>63</v>
      </c>
      <c r="C47" s="1" t="s">
        <v>63</v>
      </c>
      <c r="D47" s="9" t="s">
        <v>63</v>
      </c>
      <c r="E47" s="39" t="s">
        <v>731</v>
      </c>
      <c r="F47" s="40" t="s">
        <v>731</v>
      </c>
      <c r="G47" s="40" t="s">
        <v>731</v>
      </c>
      <c r="H47" s="40" t="s">
        <v>731</v>
      </c>
      <c r="I47" s="40" t="s">
        <v>731</v>
      </c>
      <c r="J47" s="1"/>
      <c r="K47" s="1" t="s">
        <v>63</v>
      </c>
      <c r="L47" s="1" t="s">
        <v>63</v>
      </c>
      <c r="M47" s="9" t="s">
        <v>63</v>
      </c>
      <c r="N47" s="39" t="s">
        <v>731</v>
      </c>
      <c r="O47" s="39" t="s">
        <v>731</v>
      </c>
      <c r="P47" s="39" t="s">
        <v>731</v>
      </c>
      <c r="Q47" s="39" t="s">
        <v>731</v>
      </c>
      <c r="R47" s="39" t="s">
        <v>731</v>
      </c>
      <c r="S47" s="9"/>
      <c r="T47" s="1" t="s">
        <v>63</v>
      </c>
      <c r="U47" s="1" t="s">
        <v>63</v>
      </c>
      <c r="V47" s="9" t="s">
        <v>63</v>
      </c>
      <c r="W47" s="39" t="s">
        <v>731</v>
      </c>
      <c r="X47" s="39" t="s">
        <v>731</v>
      </c>
      <c r="Y47" s="39" t="s">
        <v>731</v>
      </c>
      <c r="Z47" s="39" t="s">
        <v>731</v>
      </c>
      <c r="AA47" s="39" t="s">
        <v>731</v>
      </c>
      <c r="AB47" s="9"/>
      <c r="AC47" s="1" t="s">
        <v>17</v>
      </c>
      <c r="AD47" s="1" t="s">
        <v>514</v>
      </c>
      <c r="AE47" s="9" t="str">
        <f>ROUND((3*MIN('[1]Citoquinas todos los datos'!I64,'[1]Citoquinas todos los datos'!I67)+MAX('[1]Citoquinas todos los datos'!I64,'[1]Citoquinas todos los datos'!I67))/4,3)&amp;" - "&amp;ROUND((MIN('[1]Citoquinas todos los datos'!I64,'[1]Citoquinas todos los datos'!I67)+3*MAX('[1]Citoquinas todos los datos'!I64,'[1]Citoquinas todos los datos'!I67))/4,3)</f>
        <v>21,05 - 21,25</v>
      </c>
      <c r="AF47" s="39" t="s">
        <v>731</v>
      </c>
      <c r="AG47" s="46" t="s">
        <v>731</v>
      </c>
      <c r="AH47" s="46" t="s">
        <v>731</v>
      </c>
      <c r="AI47" s="46" t="s">
        <v>731</v>
      </c>
      <c r="AJ47" s="46" t="s">
        <v>731</v>
      </c>
    </row>
    <row r="48" spans="1:36" x14ac:dyDescent="0.25">
      <c r="A48" s="3" t="s">
        <v>64</v>
      </c>
      <c r="B48" s="1" t="s">
        <v>63</v>
      </c>
      <c r="C48" s="1" t="s">
        <v>63</v>
      </c>
      <c r="D48" s="9" t="s">
        <v>63</v>
      </c>
      <c r="E48" s="39" t="s">
        <v>731</v>
      </c>
      <c r="F48" s="40" t="s">
        <v>731</v>
      </c>
      <c r="G48" s="40" t="s">
        <v>731</v>
      </c>
      <c r="H48" s="40" t="s">
        <v>731</v>
      </c>
      <c r="I48" s="40" t="s">
        <v>731</v>
      </c>
      <c r="J48" s="1"/>
      <c r="K48" s="1" t="s">
        <v>72</v>
      </c>
      <c r="L48" s="1" t="s">
        <v>515</v>
      </c>
      <c r="M48" s="9" t="str">
        <f>ROUND('[1]Citoquinas todos los datos'!I68,3)&amp;" - "&amp;ROUND('[1]Citoquinas todos los datos'!I68,3)</f>
        <v>27,81 - 27,81</v>
      </c>
      <c r="N48" s="39" t="s">
        <v>731</v>
      </c>
      <c r="O48" s="39" t="s">
        <v>731</v>
      </c>
      <c r="P48" s="39" t="s">
        <v>731</v>
      </c>
      <c r="Q48" s="39" t="s">
        <v>731</v>
      </c>
      <c r="R48" s="39" t="s">
        <v>731</v>
      </c>
      <c r="S48" s="9"/>
      <c r="T48" s="1" t="s">
        <v>72</v>
      </c>
      <c r="U48" s="1" t="s">
        <v>515</v>
      </c>
      <c r="V48" s="9" t="str">
        <f>ROUND('[1]Citoquinas todos los datos'!I68,3)&amp;" - "&amp;ROUND('[1]Citoquinas todos los datos'!I68,3)</f>
        <v>27,81 - 27,81</v>
      </c>
      <c r="W48" s="39" t="s">
        <v>731</v>
      </c>
      <c r="X48" s="39" t="s">
        <v>731</v>
      </c>
      <c r="Y48" s="39" t="s">
        <v>731</v>
      </c>
      <c r="Z48" s="39" t="s">
        <v>731</v>
      </c>
      <c r="AA48" s="39" t="s">
        <v>731</v>
      </c>
      <c r="AB48" s="9"/>
      <c r="AC48" s="1" t="s">
        <v>17</v>
      </c>
      <c r="AD48" s="1" t="s">
        <v>516</v>
      </c>
      <c r="AE48" s="9" t="str">
        <f>ROUND((3*MIN('[1]Citoquinas todos los datos'!I70,'[1]Citoquinas todos los datos'!I73)+MAX('[1]Citoquinas todos los datos'!I70,'[1]Citoquinas todos los datos'!I73))/4,3)&amp;" - "&amp;ROUND((MIN('[1]Citoquinas todos los datos'!I70,'[1]Citoquinas todos los datos'!I73)+3*MAX('[1]Citoquinas todos los datos'!I70,'[1]Citoquinas todos los datos'!I73))/4,3)</f>
        <v>25,37 - 25,41</v>
      </c>
      <c r="AF48" s="39" t="s">
        <v>731</v>
      </c>
      <c r="AG48" s="46" t="s">
        <v>731</v>
      </c>
      <c r="AH48" s="46" t="s">
        <v>731</v>
      </c>
      <c r="AI48" s="46" t="s">
        <v>731</v>
      </c>
      <c r="AJ48" s="46" t="s">
        <v>731</v>
      </c>
    </row>
    <row r="49" spans="1:36" x14ac:dyDescent="0.25">
      <c r="A49" s="36" t="s">
        <v>517</v>
      </c>
      <c r="B49" s="1"/>
      <c r="C49" s="1"/>
      <c r="D49" s="9"/>
      <c r="E49" s="9"/>
      <c r="F49" s="1"/>
      <c r="J49" s="1"/>
      <c r="K49" s="1"/>
      <c r="L49" s="1"/>
      <c r="M49" s="9"/>
      <c r="N49" s="9"/>
      <c r="O49" s="9"/>
      <c r="S49" s="9"/>
      <c r="T49" s="1"/>
      <c r="U49" s="1"/>
      <c r="V49" s="9"/>
      <c r="W49" s="9"/>
      <c r="X49" s="9"/>
      <c r="AB49" s="9"/>
      <c r="AC49" s="1"/>
      <c r="AD49" s="1"/>
      <c r="AE49" s="9"/>
      <c r="AF49" s="9"/>
    </row>
    <row r="50" spans="1:36" x14ac:dyDescent="0.25">
      <c r="A50" s="3" t="s">
        <v>14</v>
      </c>
      <c r="B50" s="1" t="s">
        <v>72</v>
      </c>
      <c r="C50" s="1" t="s">
        <v>518</v>
      </c>
      <c r="D50" s="9" t="str">
        <f>ROUND('[1]Citoquinas todos los datos'!J56,3)&amp;" - "&amp;ROUND('[1]Citoquinas todos los datos'!J56,3)</f>
        <v>208,14 - 208,14</v>
      </c>
      <c r="E50" s="39">
        <v>1</v>
      </c>
      <c r="F50" s="40">
        <v>0</v>
      </c>
      <c r="G50" s="40">
        <v>0</v>
      </c>
      <c r="H50" s="40">
        <v>0</v>
      </c>
      <c r="I50" s="40">
        <v>0</v>
      </c>
      <c r="J50" s="1"/>
      <c r="K50" s="1" t="s">
        <v>72</v>
      </c>
      <c r="L50" s="1" t="s">
        <v>519</v>
      </c>
      <c r="M50" s="9" t="str">
        <f>ROUND('[1]Citoquinas todos los datos'!J58,3)&amp;" - "&amp;ROUND('[1]Citoquinas todos los datos'!J58,3)</f>
        <v>212,98 - 212,98</v>
      </c>
      <c r="N50" s="39">
        <v>1</v>
      </c>
      <c r="O50" s="39">
        <v>0</v>
      </c>
      <c r="P50" s="39">
        <v>0</v>
      </c>
      <c r="Q50" s="39">
        <v>0</v>
      </c>
      <c r="R50" s="39">
        <v>0</v>
      </c>
      <c r="S50" s="9"/>
      <c r="T50" s="1" t="s">
        <v>72</v>
      </c>
      <c r="U50" s="1" t="s">
        <v>520</v>
      </c>
      <c r="V50" s="9" t="str">
        <f>ROUND('[1]Citoquinas todos los datos'!J51,3)&amp;" - "&amp;ROUND('[1]Citoquinas todos los datos'!J51,3)</f>
        <v>155,56 - 155,56</v>
      </c>
      <c r="W50" s="39">
        <v>1</v>
      </c>
      <c r="X50" s="39">
        <v>0</v>
      </c>
      <c r="Y50" s="39">
        <v>0</v>
      </c>
      <c r="Z50" s="39">
        <v>0</v>
      </c>
      <c r="AA50" s="39">
        <v>0</v>
      </c>
      <c r="AB50" s="9"/>
      <c r="AC50" s="1" t="s">
        <v>72</v>
      </c>
      <c r="AD50" s="1" t="s">
        <v>521</v>
      </c>
      <c r="AE50" s="9" t="str">
        <f>ROUND('[1]Citoquinas todos los datos'!J53,3)&amp;" - "&amp;ROUND('[1]Citoquinas todos los datos'!J53,3)</f>
        <v>145,91 - 145,91</v>
      </c>
      <c r="AF50" s="39">
        <v>1</v>
      </c>
      <c r="AG50" s="46">
        <v>0</v>
      </c>
      <c r="AH50" s="46">
        <v>0</v>
      </c>
      <c r="AI50" s="46">
        <v>0</v>
      </c>
      <c r="AJ50" s="46">
        <v>0</v>
      </c>
    </row>
    <row r="51" spans="1:36" x14ac:dyDescent="0.25">
      <c r="A51" s="3" t="s">
        <v>25</v>
      </c>
      <c r="B51" s="1" t="s">
        <v>15</v>
      </c>
      <c r="C51" s="1" t="s">
        <v>522</v>
      </c>
      <c r="D51" s="9" t="str">
        <f>ROUND((MIN('[1]Citoquinas todos los datos'!J76,'[1]Citoquinas todos los datos'!J80,'[1]Citoquinas todos los datos'!J84)+MEDIAN('[1]Citoquinas todos los datos'!J76,'[1]Citoquinas todos los datos'!J80,'[1]Citoquinas todos los datos'!J84))/2,3)&amp;" - "&amp;ROUND((MEDIAN('[1]Citoquinas todos los datos'!J76,'[1]Citoquinas todos los datos'!J80,'[1]Citoquinas todos los datos'!J84)+MAX('[1]Citoquinas todos los datos'!J76,'[1]Citoquinas todos los datos'!J80,'[1]Citoquinas todos los datos'!J84))/2,3)</f>
        <v>62,035 - 67,185</v>
      </c>
      <c r="E51" s="39" t="s">
        <v>731</v>
      </c>
      <c r="F51" s="40" t="s">
        <v>731</v>
      </c>
      <c r="G51" s="40" t="s">
        <v>731</v>
      </c>
      <c r="H51" s="40" t="s">
        <v>731</v>
      </c>
      <c r="I51" s="40" t="s">
        <v>731</v>
      </c>
      <c r="J51" s="1"/>
      <c r="K51" s="1" t="s">
        <v>17</v>
      </c>
      <c r="L51" s="1" t="s">
        <v>523</v>
      </c>
      <c r="M51" s="9" t="str">
        <f>ROUND((3*MIN('[1]Citoquinas todos los datos'!J74,'[1]Citoquinas todos los datos'!J82)+MAX('[1]Citoquinas todos los datos'!J74,'[1]Citoquinas todos los datos'!J82))/4,3)&amp;" - "&amp;ROUND((MIN('[1]Citoquinas todos los datos'!J74,'[1]Citoquinas todos los datos'!J82)+3*MAX('[1]Citoquinas todos los datos'!J74,'[1]Citoquinas todos los datos'!J82))/4,3)</f>
        <v>46,83 - 67,23</v>
      </c>
      <c r="N51" s="39" t="s">
        <v>731</v>
      </c>
      <c r="O51" s="39" t="s">
        <v>731</v>
      </c>
      <c r="P51" s="39" t="s">
        <v>731</v>
      </c>
      <c r="Q51" s="39" t="s">
        <v>731</v>
      </c>
      <c r="R51" s="39" t="s">
        <v>731</v>
      </c>
      <c r="S51" s="9"/>
      <c r="T51" s="1" t="s">
        <v>15</v>
      </c>
      <c r="U51" s="1" t="s">
        <v>524</v>
      </c>
      <c r="V51" s="9" t="str">
        <f>ROUND((MIN('[1]Citoquinas todos los datos'!J75,'[1]Citoquinas todos los datos'!J79,'[1]Citoquinas todos los datos'!J83)+MEDIAN('[1]Citoquinas todos los datos'!J75,'[1]Citoquinas todos los datos'!J79,'[1]Citoquinas todos los datos'!J83))/2,3)&amp;" - "&amp;ROUND((MEDIAN('[1]Citoquinas todos los datos'!J75,'[1]Citoquinas todos los datos'!J79,'[1]Citoquinas todos los datos'!J83)+MAX('[1]Citoquinas todos los datos'!J75,'[1]Citoquinas todos los datos'!J79,'[1]Citoquinas todos los datos'!J83))/2,3)</f>
        <v>54,335 - 88,735</v>
      </c>
      <c r="W51" s="39" t="s">
        <v>731</v>
      </c>
      <c r="X51" s="39" t="s">
        <v>731</v>
      </c>
      <c r="Y51" s="39" t="s">
        <v>731</v>
      </c>
      <c r="Z51" s="39" t="s">
        <v>731</v>
      </c>
      <c r="AA51" s="39" t="s">
        <v>731</v>
      </c>
      <c r="AB51" s="9"/>
      <c r="AC51" s="1" t="s">
        <v>72</v>
      </c>
      <c r="AD51" s="1" t="s">
        <v>525</v>
      </c>
      <c r="AE51" s="9" t="str">
        <f>ROUND('[1]Citoquinas todos los datos'!J81,3)&amp;" - "&amp;ROUND('[1]Citoquinas todos los datos'!J81,3)</f>
        <v>29,23 - 29,23</v>
      </c>
      <c r="AF51" s="39" t="s">
        <v>731</v>
      </c>
      <c r="AG51" s="46" t="s">
        <v>731</v>
      </c>
      <c r="AH51" s="46" t="s">
        <v>731</v>
      </c>
      <c r="AI51" s="46" t="s">
        <v>731</v>
      </c>
      <c r="AJ51" s="46" t="s">
        <v>731</v>
      </c>
    </row>
    <row r="52" spans="1:36" x14ac:dyDescent="0.25">
      <c r="A52" s="3" t="s">
        <v>35</v>
      </c>
      <c r="B52" s="1" t="s">
        <v>17</v>
      </c>
      <c r="C52" s="1" t="s">
        <v>526</v>
      </c>
      <c r="D52" s="9" t="str">
        <f>ROUND((3*MIN('[1]Citoquinas todos los datos'!J4,'[1]Citoquinas todos los datos'!J12)+MAX('[1]Citoquinas todos los datos'!J4,'[1]Citoquinas todos los datos'!J12))/4,3)&amp;" - "&amp;ROUND((MIN('[1]Citoquinas todos los datos'!J4,'[1]Citoquinas todos los datos'!J12)+3*MAX('[1]Citoquinas todos los datos'!J4,'[1]Citoquinas todos los datos'!J12))/4,3)</f>
        <v>214,455 - 466,065</v>
      </c>
      <c r="E52" s="39" t="s">
        <v>731</v>
      </c>
      <c r="F52" s="40" t="s">
        <v>731</v>
      </c>
      <c r="G52" s="40" t="s">
        <v>731</v>
      </c>
      <c r="H52" s="40" t="s">
        <v>731</v>
      </c>
      <c r="I52" s="40" t="s">
        <v>731</v>
      </c>
      <c r="J52" s="1"/>
      <c r="K52" s="1" t="s">
        <v>17</v>
      </c>
      <c r="L52" s="1" t="s">
        <v>527</v>
      </c>
      <c r="M52" s="9" t="str">
        <f>ROUND((3*MIN('[1]Citoquinas todos los datos'!J2,'[1]Citoquinas todos los datos'!J6)+MAX('[1]Citoquinas todos los datos'!J2,'[1]Citoquinas todos los datos'!J6))/4,3)&amp;" - "&amp;ROUND((MIN('[1]Citoquinas todos los datos'!J2,'[1]Citoquinas todos los datos'!J6)+3*MAX('[1]Citoquinas todos los datos'!J2,'[1]Citoquinas todos los datos'!J6))/4,3)</f>
        <v>87,908 - 96,683</v>
      </c>
      <c r="N52" s="39" t="s">
        <v>731</v>
      </c>
      <c r="O52" s="39" t="s">
        <v>731</v>
      </c>
      <c r="P52" s="39" t="s">
        <v>731</v>
      </c>
      <c r="Q52" s="39" t="s">
        <v>731</v>
      </c>
      <c r="R52" s="39" t="s">
        <v>731</v>
      </c>
      <c r="S52" s="9"/>
      <c r="T52" s="1" t="s">
        <v>17</v>
      </c>
      <c r="U52" s="1" t="s">
        <v>528</v>
      </c>
      <c r="V52" s="9" t="str">
        <f>ROUND((3*MIN('[1]Citoquinas todos los datos'!J3,'[1]Citoquinas todos los datos'!J11)+MAX('[1]Citoquinas todos los datos'!J3,'[1]Citoquinas todos los datos'!J11))/4,3)&amp;" - "&amp;ROUND((MIN('[1]Citoquinas todos los datos'!J3,'[1]Citoquinas todos los datos'!J11)+3*MAX('[1]Citoquinas todos los datos'!J3,'[1]Citoquinas todos los datos'!J11))/4,3)</f>
        <v>57,39 - 67,55</v>
      </c>
      <c r="W52" s="39" t="s">
        <v>731</v>
      </c>
      <c r="X52" s="39" t="s">
        <v>731</v>
      </c>
      <c r="Y52" s="39" t="s">
        <v>731</v>
      </c>
      <c r="Z52" s="39" t="s">
        <v>731</v>
      </c>
      <c r="AA52" s="39" t="s">
        <v>731</v>
      </c>
      <c r="AB52" s="9"/>
      <c r="AC52" s="1" t="s">
        <v>72</v>
      </c>
      <c r="AD52" s="1" t="s">
        <v>529</v>
      </c>
      <c r="AE52" s="9" t="str">
        <f>ROUND('[1]Citoquinas todos los datos'!J13,3)&amp;" - "&amp;ROUND('[1]Citoquinas todos los datos'!J13,3)</f>
        <v>63,95 - 63,95</v>
      </c>
      <c r="AF52" s="39" t="s">
        <v>731</v>
      </c>
      <c r="AG52" s="46" t="s">
        <v>731</v>
      </c>
      <c r="AH52" s="46" t="s">
        <v>731</v>
      </c>
      <c r="AI52" s="46" t="s">
        <v>731</v>
      </c>
      <c r="AJ52" s="46" t="s">
        <v>731</v>
      </c>
    </row>
    <row r="53" spans="1:36" x14ac:dyDescent="0.25">
      <c r="A53" s="3" t="s">
        <v>42</v>
      </c>
      <c r="B53" s="1" t="s">
        <v>17</v>
      </c>
      <c r="C53" s="1" t="s">
        <v>530</v>
      </c>
      <c r="D53" s="9" t="str">
        <f>ROUND((3*MIN('[1]Citoquinas todos los datos'!J16,'[1]Citoquinas todos los datos'!J24)+MAX('[1]Citoquinas todos los datos'!J16,'[1]Citoquinas todos los datos'!J24))/4,3)&amp;" - "&amp;ROUND((MIN('[1]Citoquinas todos los datos'!J16,'[1]Citoquinas todos los datos'!J24)+3*MAX('[1]Citoquinas todos los datos'!J16,'[1]Citoquinas todos los datos'!J24))/4,3)</f>
        <v>57,008 - 63,923</v>
      </c>
      <c r="E53" s="39" t="s">
        <v>731</v>
      </c>
      <c r="F53" s="40" t="s">
        <v>731</v>
      </c>
      <c r="G53" s="40" t="s">
        <v>731</v>
      </c>
      <c r="H53" s="40" t="s">
        <v>731</v>
      </c>
      <c r="I53" s="40" t="s">
        <v>731</v>
      </c>
      <c r="J53" s="1"/>
      <c r="K53" s="1" t="s">
        <v>17</v>
      </c>
      <c r="L53" s="1" t="s">
        <v>531</v>
      </c>
      <c r="M53" s="9" t="str">
        <f>ROUND((3*MIN('[1]Citoquinas todos los datos'!J14,'[1]Citoquinas todos los datos'!J18)+MAX('[1]Citoquinas todos los datos'!J14,'[1]Citoquinas todos los datos'!J18))/4,3)&amp;" - "&amp;ROUND((MIN('[1]Citoquinas todos los datos'!J14,'[1]Citoquinas todos los datos'!J18)+3*MAX('[1]Citoquinas todos los datos'!J14,'[1]Citoquinas todos los datos'!J18))/4,3)</f>
        <v>136,61 - 189,83</v>
      </c>
      <c r="N53" s="39" t="s">
        <v>731</v>
      </c>
      <c r="O53" s="39" t="s">
        <v>731</v>
      </c>
      <c r="P53" s="39" t="s">
        <v>731</v>
      </c>
      <c r="Q53" s="39" t="s">
        <v>731</v>
      </c>
      <c r="R53" s="39" t="s">
        <v>731</v>
      </c>
      <c r="S53" s="9"/>
      <c r="T53" s="1" t="s">
        <v>15</v>
      </c>
      <c r="U53" s="1" t="s">
        <v>532</v>
      </c>
      <c r="V53" s="9" t="str">
        <f>ROUND((MIN('[1]Citoquinas todos los datos'!J15,'[1]Citoquinas todos los datos'!J19,'[1]Citoquinas todos los datos'!J23)+MEDIAN('[1]Citoquinas todos los datos'!J15,'[1]Citoquinas todos los datos'!J19,'[1]Citoquinas todos los datos'!J23))/2,3)&amp;" - "&amp;ROUND((MEDIAN('[1]Citoquinas todos los datos'!J15,'[1]Citoquinas todos los datos'!J19,'[1]Citoquinas todos los datos'!J23)+MAX('[1]Citoquinas todos los datos'!J15,'[1]Citoquinas todos los datos'!J19,'[1]Citoquinas todos los datos'!J23))/2,3)</f>
        <v>43,72 - 73,67</v>
      </c>
      <c r="W53" s="39" t="s">
        <v>731</v>
      </c>
      <c r="X53" s="39" t="s">
        <v>731</v>
      </c>
      <c r="Y53" s="39" t="s">
        <v>731</v>
      </c>
      <c r="Z53" s="39" t="s">
        <v>731</v>
      </c>
      <c r="AA53" s="39" t="s">
        <v>731</v>
      </c>
      <c r="AB53" s="9"/>
      <c r="AC53" s="1" t="s">
        <v>17</v>
      </c>
      <c r="AD53" s="1" t="s">
        <v>533</v>
      </c>
      <c r="AE53" s="9" t="str">
        <f>ROUND((3*MIN('[1]Citoquinas todos los datos'!J21,'[1]Citoquinas todos los datos'!J25)+MAX('[1]Citoquinas todos los datos'!J21,'[1]Citoquinas todos los datos'!J25))/4,3)&amp;" - "&amp;ROUND((MIN('[1]Citoquinas todos los datos'!J21,'[1]Citoquinas todos los datos'!J25)+3*MAX('[1]Citoquinas todos los datos'!J21,'[1]Citoquinas todos los datos'!J25))/4,3)</f>
        <v>95,538 - 126,413</v>
      </c>
      <c r="AF53" s="39" t="s">
        <v>731</v>
      </c>
      <c r="AG53" s="46" t="s">
        <v>731</v>
      </c>
      <c r="AH53" s="46" t="s">
        <v>731</v>
      </c>
      <c r="AI53" s="46" t="s">
        <v>731</v>
      </c>
      <c r="AJ53" s="46" t="s">
        <v>731</v>
      </c>
    </row>
    <row r="54" spans="1:36" x14ac:dyDescent="0.25">
      <c r="A54" s="3" t="s">
        <v>48</v>
      </c>
      <c r="B54" s="1" t="s">
        <v>72</v>
      </c>
      <c r="C54" s="1" t="s">
        <v>534</v>
      </c>
      <c r="D54" s="9" t="str">
        <f>ROUND('[1]Citoquinas todos los datos'!J28,3)&amp;" - "&amp;ROUND('[1]Citoquinas todos los datos'!J28,3)</f>
        <v>83,6 - 83,6</v>
      </c>
      <c r="E54" s="39" t="s">
        <v>731</v>
      </c>
      <c r="F54" s="40" t="s">
        <v>731</v>
      </c>
      <c r="G54" s="40" t="s">
        <v>731</v>
      </c>
      <c r="H54" s="40" t="s">
        <v>731</v>
      </c>
      <c r="I54" s="40" t="s">
        <v>731</v>
      </c>
      <c r="J54" s="1"/>
      <c r="K54" s="1" t="s">
        <v>17</v>
      </c>
      <c r="L54" s="1" t="s">
        <v>535</v>
      </c>
      <c r="M54" s="9" t="str">
        <f>ROUND((3*MIN('[1]Citoquinas todos los datos'!J30,'[1]Citoquinas todos los datos'!J34)+MAX('[1]Citoquinas todos los datos'!J30,'[1]Citoquinas todos los datos'!J34))/4,3)&amp;" - "&amp;ROUND((MIN('[1]Citoquinas todos los datos'!J30,'[1]Citoquinas todos los datos'!J34)+3*MAX('[1]Citoquinas todos los datos'!J30,'[1]Citoquinas todos los datos'!J34))/4,3)</f>
        <v>56,733 - 61,978</v>
      </c>
      <c r="N54" s="39" t="s">
        <v>731</v>
      </c>
      <c r="O54" s="39" t="s">
        <v>731</v>
      </c>
      <c r="P54" s="39" t="s">
        <v>731</v>
      </c>
      <c r="Q54" s="39" t="s">
        <v>731</v>
      </c>
      <c r="R54" s="39" t="s">
        <v>731</v>
      </c>
      <c r="S54" s="9"/>
      <c r="T54" s="1" t="s">
        <v>72</v>
      </c>
      <c r="U54" s="1" t="s">
        <v>536</v>
      </c>
      <c r="V54" s="9" t="str">
        <f>ROUND('[1]Citoquinas todos los datos'!J31,3)&amp;" - "&amp;ROUND('[1]Citoquinas todos los datos'!J31,3)</f>
        <v>129,83 - 129,83</v>
      </c>
      <c r="W54" s="39" t="s">
        <v>731</v>
      </c>
      <c r="X54" s="39" t="s">
        <v>731</v>
      </c>
      <c r="Y54" s="39" t="s">
        <v>731</v>
      </c>
      <c r="Z54" s="39" t="s">
        <v>731</v>
      </c>
      <c r="AA54" s="39" t="s">
        <v>731</v>
      </c>
      <c r="AB54" s="9"/>
      <c r="AC54" s="1" t="s">
        <v>63</v>
      </c>
      <c r="AD54" s="1" t="s">
        <v>63</v>
      </c>
      <c r="AE54" s="9" t="s">
        <v>63</v>
      </c>
      <c r="AF54" s="39" t="s">
        <v>731</v>
      </c>
      <c r="AG54" s="46" t="s">
        <v>731</v>
      </c>
      <c r="AH54" s="46" t="s">
        <v>731</v>
      </c>
      <c r="AI54" s="46" t="s">
        <v>731</v>
      </c>
      <c r="AJ54" s="46" t="s">
        <v>731</v>
      </c>
    </row>
    <row r="55" spans="1:36" x14ac:dyDescent="0.25">
      <c r="A55" s="3" t="s">
        <v>54</v>
      </c>
      <c r="B55" s="1" t="s">
        <v>17</v>
      </c>
      <c r="C55" s="1" t="s">
        <v>537</v>
      </c>
      <c r="D55" s="9" t="str">
        <f>ROUND((3*MIN('[1]Citoquinas todos los datos'!J44,'[1]Citoquinas todos los datos'!J48)+MAX('[1]Citoquinas todos los datos'!J44,'[1]Citoquinas todos los datos'!J48))/4,3)&amp;" - "&amp;ROUND((MIN('[1]Citoquinas todos los datos'!J44,'[1]Citoquinas todos los datos'!J48)+3*MAX('[1]Citoquinas todos los datos'!J44,'[1]Citoquinas todos los datos'!J48))/4,3)</f>
        <v>27,425 - 45,575</v>
      </c>
      <c r="E55" s="39" t="s">
        <v>731</v>
      </c>
      <c r="F55" s="40" t="s">
        <v>731</v>
      </c>
      <c r="G55" s="40" t="s">
        <v>731</v>
      </c>
      <c r="H55" s="40" t="s">
        <v>731</v>
      </c>
      <c r="I55" s="40" t="s">
        <v>731</v>
      </c>
      <c r="J55" s="1"/>
      <c r="K55" s="1" t="s">
        <v>15</v>
      </c>
      <c r="L55" s="1" t="s">
        <v>538</v>
      </c>
      <c r="M55" s="9" t="str">
        <f>ROUND((MIN('[1]Citoquinas todos los datos'!J38,'[1]Citoquinas todos los datos'!J42,'[1]Citoquinas todos los datos'!J46)+MEDIAN('[1]Citoquinas todos los datos'!J38,'[1]Citoquinas todos los datos'!J42,'[1]Citoquinas todos los datos'!J46))/2,3)&amp;" - "&amp;ROUND((MEDIAN('[1]Citoquinas todos los datos'!J38,'[1]Citoquinas todos los datos'!J42,'[1]Citoquinas todos los datos'!J46)+MAX('[1]Citoquinas todos los datos'!J38,'[1]Citoquinas todos los datos'!J42,'[1]Citoquinas todos los datos'!J46))/2,3)</f>
        <v>79,11 - 153,35</v>
      </c>
      <c r="N55" s="39" t="s">
        <v>731</v>
      </c>
      <c r="O55" s="39" t="s">
        <v>731</v>
      </c>
      <c r="P55" s="39" t="s">
        <v>731</v>
      </c>
      <c r="Q55" s="39" t="s">
        <v>731</v>
      </c>
      <c r="R55" s="39" t="s">
        <v>731</v>
      </c>
      <c r="S55" s="9"/>
      <c r="T55" s="1" t="s">
        <v>72</v>
      </c>
      <c r="U55" s="1" t="s">
        <v>539</v>
      </c>
      <c r="V55" s="9" t="str">
        <f>ROUND('[1]Citoquinas todos los datos'!J47,3)&amp;" - "&amp;ROUND('[1]Citoquinas todos los datos'!J47,3)</f>
        <v>150,9 - 150,9</v>
      </c>
      <c r="W55" s="39" t="s">
        <v>731</v>
      </c>
      <c r="X55" s="39" t="s">
        <v>731</v>
      </c>
      <c r="Y55" s="39" t="s">
        <v>731</v>
      </c>
      <c r="Z55" s="39" t="s">
        <v>731</v>
      </c>
      <c r="AA55" s="39" t="s">
        <v>731</v>
      </c>
      <c r="AB55" s="37"/>
      <c r="AC55" s="1" t="s">
        <v>72</v>
      </c>
      <c r="AD55" s="1" t="s">
        <v>540</v>
      </c>
      <c r="AE55" s="9" t="str">
        <f>ROUND('[1]Citoquinas todos los datos'!J45,3)&amp;" - "&amp;ROUND('[1]Citoquinas todos los datos'!J45,3)</f>
        <v>78,97 - 78,97</v>
      </c>
      <c r="AF55" s="39" t="s">
        <v>731</v>
      </c>
      <c r="AG55" s="46" t="s">
        <v>731</v>
      </c>
      <c r="AH55" s="46" t="s">
        <v>731</v>
      </c>
      <c r="AI55" s="46" t="s">
        <v>731</v>
      </c>
      <c r="AJ55" s="46" t="s">
        <v>731</v>
      </c>
    </row>
    <row r="56" spans="1:36" x14ac:dyDescent="0.25">
      <c r="A56" s="3" t="s">
        <v>59</v>
      </c>
      <c r="B56" s="1" t="s">
        <v>72</v>
      </c>
      <c r="C56" s="1" t="s">
        <v>541</v>
      </c>
      <c r="D56" s="9" t="str">
        <f>ROUND('[1]Citoquinas todos los datos'!J63,3)&amp;" - "&amp;ROUND('[1]Citoquinas todos los datos'!J63,3)</f>
        <v>58,9 - 58,9</v>
      </c>
      <c r="E56" s="39" t="s">
        <v>731</v>
      </c>
      <c r="F56" s="40" t="s">
        <v>731</v>
      </c>
      <c r="G56" s="40" t="s">
        <v>731</v>
      </c>
      <c r="H56" s="40" t="s">
        <v>731</v>
      </c>
      <c r="I56" s="40" t="s">
        <v>731</v>
      </c>
      <c r="J56" s="1"/>
      <c r="K56" s="1" t="s">
        <v>17</v>
      </c>
      <c r="L56" s="1" t="s">
        <v>542</v>
      </c>
      <c r="M56" s="9" t="str">
        <f>ROUND((3*MIN('[1]Citoquinas todos los datos'!J62,'[1]Citoquinas todos los datos'!J65)+MAX('[1]Citoquinas todos los datos'!J62,'[1]Citoquinas todos los datos'!J65))/4,3)&amp;" - "&amp;ROUND((MIN('[1]Citoquinas todos los datos'!J62,'[1]Citoquinas todos los datos'!J65)+3*MAX('[1]Citoquinas todos los datos'!J62,'[1]Citoquinas todos los datos'!J65))/4,3)</f>
        <v>311,743 - 406,308</v>
      </c>
      <c r="N56" s="39" t="s">
        <v>731</v>
      </c>
      <c r="O56" s="39" t="s">
        <v>731</v>
      </c>
      <c r="P56" s="39" t="s">
        <v>731</v>
      </c>
      <c r="Q56" s="39" t="s">
        <v>731</v>
      </c>
      <c r="R56" s="39" t="s">
        <v>731</v>
      </c>
      <c r="S56" s="9"/>
      <c r="T56" s="1" t="s">
        <v>17</v>
      </c>
      <c r="U56" s="1" t="s">
        <v>542</v>
      </c>
      <c r="V56" s="9" t="str">
        <f>ROUND((3*MIN('[1]Citoquinas todos los datos'!J62,'[1]Citoquinas todos los datos'!J65)+MAX('[1]Citoquinas todos los datos'!J62,'[1]Citoquinas todos los datos'!J65))/4,3)&amp;" - "&amp;ROUND((MIN('[1]Citoquinas todos los datos'!J62,'[1]Citoquinas todos los datos'!J65)+3*MAX('[1]Citoquinas todos los datos'!J62,'[1]Citoquinas todos los datos'!J65))/4,3)</f>
        <v>311,743 - 406,308</v>
      </c>
      <c r="W56" s="39" t="s">
        <v>731</v>
      </c>
      <c r="X56" s="39" t="s">
        <v>731</v>
      </c>
      <c r="Y56" s="39" t="s">
        <v>731</v>
      </c>
      <c r="Z56" s="39" t="s">
        <v>731</v>
      </c>
      <c r="AA56" s="39" t="s">
        <v>731</v>
      </c>
      <c r="AB56" s="9"/>
      <c r="AC56" s="1" t="s">
        <v>17</v>
      </c>
      <c r="AD56" s="1" t="s">
        <v>543</v>
      </c>
      <c r="AE56" s="9" t="str">
        <f>ROUND((3*MIN('[1]Citoquinas todos los datos'!J64,'[1]Citoquinas todos los datos'!J67)+MAX('[1]Citoquinas todos los datos'!J64,'[1]Citoquinas todos los datos'!J67))/4,3)&amp;" - "&amp;ROUND((MIN('[1]Citoquinas todos los datos'!J64,'[1]Citoquinas todos los datos'!J67)+3*MAX('[1]Citoquinas todos los datos'!J64,'[1]Citoquinas todos los datos'!J67))/4,3)</f>
        <v>80,345 - 81,055</v>
      </c>
      <c r="AF56" s="39" t="s">
        <v>731</v>
      </c>
      <c r="AG56" s="46" t="s">
        <v>731</v>
      </c>
      <c r="AH56" s="46" t="s">
        <v>731</v>
      </c>
      <c r="AI56" s="46" t="s">
        <v>731</v>
      </c>
      <c r="AJ56" s="46" t="s">
        <v>731</v>
      </c>
    </row>
    <row r="57" spans="1:36" x14ac:dyDescent="0.25">
      <c r="A57" s="3" t="s">
        <v>64</v>
      </c>
      <c r="B57" s="1" t="s">
        <v>72</v>
      </c>
      <c r="C57" s="1" t="s">
        <v>544</v>
      </c>
      <c r="D57" s="9" t="str">
        <f>ROUND('[1]Citoquinas todos los datos'!J69,3)&amp;" - "&amp;ROUND('[1]Citoquinas todos los datos'!J69,3)</f>
        <v>40,06 - 40,06</v>
      </c>
      <c r="E57" s="39" t="s">
        <v>731</v>
      </c>
      <c r="F57" s="40" t="s">
        <v>731</v>
      </c>
      <c r="G57" s="40" t="s">
        <v>731</v>
      </c>
      <c r="H57" s="40" t="s">
        <v>731</v>
      </c>
      <c r="I57" s="40" t="s">
        <v>731</v>
      </c>
      <c r="J57" s="1"/>
      <c r="K57" s="1" t="s">
        <v>72</v>
      </c>
      <c r="L57" s="1" t="s">
        <v>545</v>
      </c>
      <c r="M57" s="9" t="str">
        <f>ROUND('[1]Citoquinas todos los datos'!J68,3)&amp;" - "&amp;ROUND('[1]Citoquinas todos los datos'!J68,3)</f>
        <v>304,5 - 304,5</v>
      </c>
      <c r="N57" s="39" t="s">
        <v>731</v>
      </c>
      <c r="O57" s="39" t="s">
        <v>731</v>
      </c>
      <c r="P57" s="39" t="s">
        <v>731</v>
      </c>
      <c r="Q57" s="39" t="s">
        <v>731</v>
      </c>
      <c r="R57" s="39" t="s">
        <v>731</v>
      </c>
      <c r="S57" s="9"/>
      <c r="T57" s="1" t="s">
        <v>72</v>
      </c>
      <c r="U57" s="1" t="s">
        <v>545</v>
      </c>
      <c r="V57" s="9" t="str">
        <f>ROUND('[1]Citoquinas todos los datos'!J68,3)&amp;" - "&amp;ROUND('[1]Citoquinas todos los datos'!J68,3)</f>
        <v>304,5 - 304,5</v>
      </c>
      <c r="W57" s="39" t="s">
        <v>731</v>
      </c>
      <c r="X57" s="39" t="s">
        <v>731</v>
      </c>
      <c r="Y57" s="39" t="s">
        <v>731</v>
      </c>
      <c r="Z57" s="39" t="s">
        <v>731</v>
      </c>
      <c r="AA57" s="39" t="s">
        <v>731</v>
      </c>
      <c r="AB57" s="9"/>
      <c r="AC57" s="1" t="s">
        <v>63</v>
      </c>
      <c r="AD57" s="1" t="s">
        <v>63</v>
      </c>
      <c r="AE57" s="9" t="s">
        <v>63</v>
      </c>
      <c r="AF57" s="39" t="s">
        <v>731</v>
      </c>
      <c r="AG57" s="46" t="s">
        <v>731</v>
      </c>
      <c r="AH57" s="46" t="s">
        <v>731</v>
      </c>
      <c r="AI57" s="46" t="s">
        <v>731</v>
      </c>
      <c r="AJ57" s="46" t="s">
        <v>731</v>
      </c>
    </row>
    <row r="58" spans="1:36" x14ac:dyDescent="0.25">
      <c r="A58" s="35" t="s">
        <v>546</v>
      </c>
      <c r="B58" s="29"/>
      <c r="C58" s="29"/>
      <c r="D58" s="29"/>
      <c r="E58" s="29"/>
      <c r="F58" s="29"/>
      <c r="J58" s="29"/>
      <c r="K58" s="29"/>
      <c r="L58" s="29"/>
      <c r="M58" s="29"/>
      <c r="N58" s="29"/>
      <c r="O58" s="29"/>
      <c r="S58" s="29"/>
      <c r="T58" s="29"/>
      <c r="U58" s="29"/>
      <c r="V58" s="29"/>
      <c r="W58" s="29"/>
      <c r="X58" s="29"/>
      <c r="AB58" s="29"/>
      <c r="AC58" s="29"/>
      <c r="AD58" s="29"/>
      <c r="AE58" s="29"/>
      <c r="AF58" s="29"/>
    </row>
    <row r="59" spans="1:36" x14ac:dyDescent="0.25">
      <c r="A59" s="3" t="s">
        <v>14</v>
      </c>
      <c r="B59" s="1" t="s">
        <v>63</v>
      </c>
      <c r="C59" s="1" t="s">
        <v>63</v>
      </c>
      <c r="D59" s="9" t="s">
        <v>63</v>
      </c>
      <c r="E59" s="39" t="s">
        <v>731</v>
      </c>
      <c r="F59" s="40" t="s">
        <v>731</v>
      </c>
      <c r="G59" s="40" t="s">
        <v>731</v>
      </c>
      <c r="H59" s="40" t="s">
        <v>731</v>
      </c>
      <c r="I59" s="40" t="s">
        <v>731</v>
      </c>
      <c r="J59" s="1"/>
      <c r="K59" s="1" t="s">
        <v>72</v>
      </c>
      <c r="L59" s="1" t="s">
        <v>547</v>
      </c>
      <c r="M59" s="9" t="str">
        <f>ROUND('[1]Citoquinas todos los datos'!K58,3)&amp;" - "&amp;ROUND('[1]Citoquinas todos los datos'!K58,3)</f>
        <v>25,85 - 25,85</v>
      </c>
      <c r="N59" s="39">
        <v>1</v>
      </c>
      <c r="O59" s="39">
        <v>0</v>
      </c>
      <c r="P59" s="39">
        <v>0</v>
      </c>
      <c r="Q59" s="39">
        <v>0</v>
      </c>
      <c r="R59" s="39">
        <v>0</v>
      </c>
      <c r="S59" s="9"/>
      <c r="T59" s="1" t="s">
        <v>17</v>
      </c>
      <c r="U59" s="1" t="s">
        <v>548</v>
      </c>
      <c r="V59" s="9" t="str">
        <f>ROUND((3*MIN('[1]Citoquinas todos los datos'!K55,'[1]Citoquinas todos los datos'!K59)+MAX('[1]Citoquinas todos los datos'!K55,'[1]Citoquinas todos los datos'!K59))/4,3)&amp;" - "&amp;ROUND((MIN('[1]Citoquinas todos los datos'!K55,'[1]Citoquinas todos los datos'!K59)+3*MAX('[1]Citoquinas todos los datos'!K55,'[1]Citoquinas todos los datos'!K59))/4,3)</f>
        <v>69,938 - 136,833</v>
      </c>
      <c r="W59" s="39">
        <v>1</v>
      </c>
      <c r="X59" s="39">
        <v>0</v>
      </c>
      <c r="Y59" s="39">
        <v>0</v>
      </c>
      <c r="Z59" s="39">
        <v>0</v>
      </c>
      <c r="AA59" s="39">
        <v>0</v>
      </c>
      <c r="AB59" s="9"/>
      <c r="AC59" s="1" t="s">
        <v>63</v>
      </c>
      <c r="AD59" s="1" t="s">
        <v>63</v>
      </c>
      <c r="AE59" s="9" t="s">
        <v>63</v>
      </c>
      <c r="AF59" s="39" t="s">
        <v>731</v>
      </c>
      <c r="AG59" s="46" t="s">
        <v>731</v>
      </c>
      <c r="AH59" s="46" t="s">
        <v>731</v>
      </c>
      <c r="AI59" s="46" t="s">
        <v>731</v>
      </c>
      <c r="AJ59" s="46" t="s">
        <v>731</v>
      </c>
    </row>
    <row r="60" spans="1:36" x14ac:dyDescent="0.25">
      <c r="A60" s="3" t="s">
        <v>25</v>
      </c>
      <c r="B60" s="1" t="s">
        <v>15</v>
      </c>
      <c r="C60" s="1" t="s">
        <v>549</v>
      </c>
      <c r="D60" s="9" t="str">
        <f>ROUND((MIN('[1]Citoquinas todos los datos'!K76,'[1]Citoquinas todos los datos'!K80,'[1]Citoquinas todos los datos'!K84)+MEDIAN('[1]Citoquinas todos los datos'!K76,'[1]Citoquinas todos los datos'!K80,'[1]Citoquinas todos los datos'!K84))/2,3)&amp;" - "&amp;ROUND((MEDIAN('[1]Citoquinas todos los datos'!K76,'[1]Citoquinas todos los datos'!K80,'[1]Citoquinas todos los datos'!K84)+MAX('[1]Citoquinas todos los datos'!K76,'[1]Citoquinas todos los datos'!K80,'[1]Citoquinas todos los datos'!K84))/2,3)</f>
        <v>24,49 - 69,39</v>
      </c>
      <c r="E60" s="39" t="s">
        <v>731</v>
      </c>
      <c r="F60" s="40" t="s">
        <v>731</v>
      </c>
      <c r="G60" s="40" t="s">
        <v>731</v>
      </c>
      <c r="H60" s="40" t="s">
        <v>731</v>
      </c>
      <c r="I60" s="40" t="s">
        <v>731</v>
      </c>
      <c r="J60" s="1"/>
      <c r="K60" s="1" t="s">
        <v>17</v>
      </c>
      <c r="L60" s="1" t="s">
        <v>550</v>
      </c>
      <c r="M60" s="9" t="str">
        <f>ROUND((3*MIN('[1]Citoquinas todos los datos'!K74,'[1]Citoquinas todos los datos'!K78)+MAX('[1]Citoquinas todos los datos'!K74,'[1]Citoquinas todos los datos'!K78))/4,3)&amp;" - "&amp;ROUND((MIN('[1]Citoquinas todos los datos'!K74,'[1]Citoquinas todos los datos'!K78)+3*MAX('[1]Citoquinas todos los datos'!K74,'[1]Citoquinas todos los datos'!K78))/4,3)</f>
        <v>4,603 - 8,088</v>
      </c>
      <c r="N60" s="39" t="s">
        <v>731</v>
      </c>
      <c r="O60" s="39" t="s">
        <v>731</v>
      </c>
      <c r="P60" s="39" t="s">
        <v>731</v>
      </c>
      <c r="Q60" s="39" t="s">
        <v>731</v>
      </c>
      <c r="R60" s="39" t="s">
        <v>731</v>
      </c>
      <c r="S60" s="9"/>
      <c r="T60" s="1" t="s">
        <v>72</v>
      </c>
      <c r="U60" s="1" t="s">
        <v>551</v>
      </c>
      <c r="V60" s="9" t="str">
        <f>ROUND('[1]Citoquinas todos los datos'!K75,3)&amp;" - "&amp;ROUND('[1]Citoquinas todos los datos'!K75,3)</f>
        <v>218,28 - 218,28</v>
      </c>
      <c r="W60" s="39" t="s">
        <v>731</v>
      </c>
      <c r="X60" s="39" t="s">
        <v>731</v>
      </c>
      <c r="Y60" s="39" t="s">
        <v>731</v>
      </c>
      <c r="Z60" s="39" t="s">
        <v>731</v>
      </c>
      <c r="AA60" s="39" t="s">
        <v>731</v>
      </c>
      <c r="AB60" s="9"/>
      <c r="AC60" s="1" t="s">
        <v>17</v>
      </c>
      <c r="AD60" s="1" t="s">
        <v>552</v>
      </c>
      <c r="AE60" s="9" t="str">
        <f>ROUND((3*MIN('[1]Citoquinas todos los datos'!K77,'[1]Citoquinas todos los datos'!K81)+MAX('[1]Citoquinas todos los datos'!K77,'[1]Citoquinas todos los datos'!K81))/4,3)&amp;" - "&amp;ROUND((MIN('[1]Citoquinas todos los datos'!K77,'[1]Citoquinas todos los datos'!K81)+3*MAX('[1]Citoquinas todos los datos'!K77,'[1]Citoquinas todos los datos'!K81))/4,3)</f>
        <v>4,353 - 7,478</v>
      </c>
      <c r="AF60" s="39" t="s">
        <v>731</v>
      </c>
      <c r="AG60" s="46" t="s">
        <v>731</v>
      </c>
      <c r="AH60" s="46" t="s">
        <v>731</v>
      </c>
      <c r="AI60" s="46" t="s">
        <v>731</v>
      </c>
      <c r="AJ60" s="46" t="s">
        <v>731</v>
      </c>
    </row>
    <row r="61" spans="1:36" x14ac:dyDescent="0.25">
      <c r="A61" s="3" t="s">
        <v>35</v>
      </c>
      <c r="B61" s="1" t="s">
        <v>63</v>
      </c>
      <c r="C61" s="1" t="s">
        <v>63</v>
      </c>
      <c r="D61" s="9" t="s">
        <v>63</v>
      </c>
      <c r="E61" s="39" t="s">
        <v>731</v>
      </c>
      <c r="F61" s="40" t="s">
        <v>731</v>
      </c>
      <c r="G61" s="40" t="s">
        <v>731</v>
      </c>
      <c r="H61" s="40" t="s">
        <v>731</v>
      </c>
      <c r="I61" s="40" t="s">
        <v>731</v>
      </c>
      <c r="J61" s="1"/>
      <c r="K61" s="1" t="s">
        <v>17</v>
      </c>
      <c r="L61" s="1" t="s">
        <v>553</v>
      </c>
      <c r="M61" s="9" t="str">
        <f>ROUND((3*MIN('[1]Citoquinas todos los datos'!K2,'[1]Citoquinas todos los datos'!K10)+MAX('[1]Citoquinas todos los datos'!K2,'[1]Citoquinas todos los datos'!K10))/4,3)&amp;" - "&amp;ROUND((MIN('[1]Citoquinas todos los datos'!K2,'[1]Citoquinas todos los datos'!K10)+3*MAX('[1]Citoquinas todos los datos'!K2,'[1]Citoquinas todos los datos'!K10))/4,3)</f>
        <v>22,475 - 59,625</v>
      </c>
      <c r="N61" s="39" t="s">
        <v>731</v>
      </c>
      <c r="O61" s="39" t="s">
        <v>731</v>
      </c>
      <c r="P61" s="39" t="s">
        <v>731</v>
      </c>
      <c r="Q61" s="39" t="s">
        <v>731</v>
      </c>
      <c r="R61" s="39" t="s">
        <v>731</v>
      </c>
      <c r="S61" s="9"/>
      <c r="T61" s="1" t="s">
        <v>15</v>
      </c>
      <c r="U61" s="1" t="s">
        <v>554</v>
      </c>
      <c r="V61" s="9" t="str">
        <f>ROUND((MIN('[1]Citoquinas todos los datos'!K3,'[1]Citoquinas todos los datos'!K7,'[1]Citoquinas todos los datos'!K11)+MEDIAN('[1]Citoquinas todos los datos'!K3,'[1]Citoquinas todos los datos'!K7,'[1]Citoquinas todos los datos'!K11))/2,3)&amp;" - "&amp;ROUND((MEDIAN('[1]Citoquinas todos los datos'!K3,'[1]Citoquinas todos los datos'!K7,'[1]Citoquinas todos los datos'!K11)+MAX('[1]Citoquinas todos los datos'!K3,'[1]Citoquinas todos los datos'!K7,'[1]Citoquinas todos los datos'!K11))/2,3)</f>
        <v>65,915 - 190,34</v>
      </c>
      <c r="W61" s="39">
        <v>1.2616272508906836</v>
      </c>
      <c r="X61" s="39">
        <v>0.33528572749554009</v>
      </c>
      <c r="Y61" s="39">
        <v>26.16272508906836</v>
      </c>
      <c r="Z61" s="39">
        <v>27.048333333333332</v>
      </c>
      <c r="AA61" s="39">
        <v>0.11568097739698198</v>
      </c>
      <c r="AB61" s="9"/>
      <c r="AC61" s="1" t="s">
        <v>17</v>
      </c>
      <c r="AD61" s="1" t="s">
        <v>555</v>
      </c>
      <c r="AE61" s="9" t="str">
        <f>ROUND((3*MIN('[1]Citoquinas todos los datos'!K9,'[1]Citoquinas todos los datos'!K13)+MAX('[1]Citoquinas todos los datos'!K9,'[1]Citoquinas todos los datos'!K13))/4,3)&amp;" - "&amp;ROUND((MIN('[1]Citoquinas todos los datos'!K9,'[1]Citoquinas todos los datos'!K13)+3*MAX('[1]Citoquinas todos los datos'!K9,'[1]Citoquinas todos los datos'!K13))/4,3)</f>
        <v>10,065 - 11,935</v>
      </c>
      <c r="AF61" s="39" t="s">
        <v>731</v>
      </c>
      <c r="AG61" s="46" t="s">
        <v>731</v>
      </c>
      <c r="AH61" s="46" t="s">
        <v>731</v>
      </c>
      <c r="AI61" s="46" t="s">
        <v>731</v>
      </c>
      <c r="AJ61" s="46" t="s">
        <v>731</v>
      </c>
    </row>
    <row r="62" spans="1:36" x14ac:dyDescent="0.25">
      <c r="A62" s="3" t="s">
        <v>42</v>
      </c>
      <c r="B62" s="1" t="s">
        <v>72</v>
      </c>
      <c r="C62" s="1" t="s">
        <v>556</v>
      </c>
      <c r="D62" s="9" t="str">
        <f>ROUND('[1]Citoquinas todos los datos'!K20,3)&amp;" - "&amp;ROUND('[1]Citoquinas todos los datos'!K20,3)</f>
        <v>1,14 - 1,14</v>
      </c>
      <c r="E62" s="39" t="s">
        <v>731</v>
      </c>
      <c r="F62" s="40" t="s">
        <v>731</v>
      </c>
      <c r="G62" s="40" t="s">
        <v>731</v>
      </c>
      <c r="H62" s="40" t="s">
        <v>731</v>
      </c>
      <c r="I62" s="40" t="s">
        <v>731</v>
      </c>
      <c r="J62" s="1"/>
      <c r="K62" s="1" t="s">
        <v>17</v>
      </c>
      <c r="L62" s="1" t="s">
        <v>557</v>
      </c>
      <c r="M62" s="9" t="str">
        <f>ROUND((3*MIN('[1]Citoquinas todos los datos'!K14,'[1]Citoquinas todos los datos'!K18)+MAX('[1]Citoquinas todos los datos'!K14,'[1]Citoquinas todos los datos'!K18))/4,3)&amp;" - "&amp;ROUND((MIN('[1]Citoquinas todos los datos'!K14,'[1]Citoquinas todos los datos'!K18)+3*MAX('[1]Citoquinas todos los datos'!K14,'[1]Citoquinas todos los datos'!K18))/4,3)</f>
        <v>78,603 - 215,908</v>
      </c>
      <c r="N62" s="39" t="s">
        <v>731</v>
      </c>
      <c r="O62" s="39" t="s">
        <v>731</v>
      </c>
      <c r="P62" s="39" t="s">
        <v>731</v>
      </c>
      <c r="Q62" s="39" t="s">
        <v>731</v>
      </c>
      <c r="R62" s="39" t="s">
        <v>731</v>
      </c>
      <c r="S62" s="9"/>
      <c r="T62" s="1" t="s">
        <v>15</v>
      </c>
      <c r="U62" s="1" t="s">
        <v>558</v>
      </c>
      <c r="V62" s="9" t="str">
        <f>ROUND((MIN('[1]Citoquinas todos los datos'!K15,'[1]Citoquinas todos los datos'!K19,'[1]Citoquinas todos los datos'!K23)+MEDIAN('[1]Citoquinas todos los datos'!K15,'[1]Citoquinas todos los datos'!K19,'[1]Citoquinas todos los datos'!K23))/2,3)&amp;" - "&amp;ROUND((MEDIAN('[1]Citoquinas todos los datos'!K15,'[1]Citoquinas todos los datos'!K19,'[1]Citoquinas todos los datos'!K23)+MAX('[1]Citoquinas todos los datos'!K15,'[1]Citoquinas todos los datos'!K19,'[1]Citoquinas todos los datos'!K23))/2,3)</f>
        <v>3,97 - 35,175</v>
      </c>
      <c r="W62" s="39">
        <v>0.23707501088165597</v>
      </c>
      <c r="X62" s="39">
        <v>-2.0765844927046206</v>
      </c>
      <c r="Y62" s="39">
        <v>-76.2924989118344</v>
      </c>
      <c r="Z62" s="39">
        <v>-78.875</v>
      </c>
      <c r="AA62" s="39">
        <v>-0.61671683803119737</v>
      </c>
      <c r="AB62" s="9"/>
      <c r="AC62" s="1" t="s">
        <v>63</v>
      </c>
      <c r="AD62" s="1" t="s">
        <v>63</v>
      </c>
      <c r="AE62" s="9" t="s">
        <v>63</v>
      </c>
      <c r="AF62" s="39" t="s">
        <v>731</v>
      </c>
      <c r="AG62" s="46" t="s">
        <v>731</v>
      </c>
      <c r="AH62" s="46" t="s">
        <v>731</v>
      </c>
      <c r="AI62" s="46" t="s">
        <v>731</v>
      </c>
      <c r="AJ62" s="46" t="s">
        <v>731</v>
      </c>
    </row>
    <row r="63" spans="1:36" x14ac:dyDescent="0.25">
      <c r="A63" s="3" t="s">
        <v>48</v>
      </c>
      <c r="B63" s="1" t="s">
        <v>72</v>
      </c>
      <c r="C63" s="1" t="s">
        <v>559</v>
      </c>
      <c r="D63" s="9" t="str">
        <f>ROUND('[1]Citoquinas todos los datos'!K32,3)&amp;" - "&amp;ROUND('[1]Citoquinas todos los datos'!K32,3)</f>
        <v>285,9 - 285,9</v>
      </c>
      <c r="E63" s="39" t="s">
        <v>731</v>
      </c>
      <c r="F63" s="40" t="s">
        <v>731</v>
      </c>
      <c r="G63" s="40" t="s">
        <v>731</v>
      </c>
      <c r="H63" s="40" t="s">
        <v>731</v>
      </c>
      <c r="I63" s="40" t="s">
        <v>731</v>
      </c>
      <c r="J63" s="1"/>
      <c r="K63" s="1" t="s">
        <v>72</v>
      </c>
      <c r="L63" s="1" t="s">
        <v>560</v>
      </c>
      <c r="M63" s="9" t="str">
        <f>ROUND('[1]Citoquinas todos los datos'!K34,3)&amp;" - "&amp;ROUND('[1]Citoquinas todos los datos'!K34,3)</f>
        <v>40,52 - 40,52</v>
      </c>
      <c r="N63" s="39" t="s">
        <v>731</v>
      </c>
      <c r="O63" s="39" t="s">
        <v>731</v>
      </c>
      <c r="P63" s="39" t="s">
        <v>731</v>
      </c>
      <c r="Q63" s="39" t="s">
        <v>731</v>
      </c>
      <c r="R63" s="39" t="s">
        <v>731</v>
      </c>
      <c r="S63" s="9"/>
      <c r="T63" s="1" t="s">
        <v>15</v>
      </c>
      <c r="U63" s="1" t="s">
        <v>561</v>
      </c>
      <c r="V63" s="9" t="str">
        <f>ROUND((MIN('[1]Citoquinas todos los datos'!K27,'[1]Citoquinas todos los datos'!K31,'[1]Citoquinas todos los datos'!K35)+MEDIAN('[1]Citoquinas todos los datos'!K27,'[1]Citoquinas todos los datos'!K31,'[1]Citoquinas todos los datos'!K35))/2,3)&amp;" - "&amp;ROUND((MEDIAN('[1]Citoquinas todos los datos'!K27,'[1]Citoquinas todos los datos'!K31,'[1]Citoquinas todos los datos'!K35)+MAX('[1]Citoquinas todos los datos'!K27,'[1]Citoquinas todos los datos'!K31,'[1]Citoquinas todos los datos'!K35))/2,3)</f>
        <v>5,225 - 17,42</v>
      </c>
      <c r="W63" s="39">
        <v>0.12245490158146734</v>
      </c>
      <c r="X63" s="39">
        <v>-3.0296775721431186</v>
      </c>
      <c r="Y63" s="39">
        <v>-87.754509841853263</v>
      </c>
      <c r="Z63" s="39">
        <v>-90.725000000000009</v>
      </c>
      <c r="AA63" s="39">
        <v>-0.78180878107630669</v>
      </c>
      <c r="AB63" s="9"/>
      <c r="AC63" s="1" t="s">
        <v>63</v>
      </c>
      <c r="AD63" s="1" t="s">
        <v>63</v>
      </c>
      <c r="AE63" s="9" t="s">
        <v>63</v>
      </c>
      <c r="AF63" s="39" t="s">
        <v>731</v>
      </c>
      <c r="AG63" s="46" t="s">
        <v>731</v>
      </c>
      <c r="AH63" s="46" t="s">
        <v>731</v>
      </c>
      <c r="AI63" s="46" t="s">
        <v>731</v>
      </c>
      <c r="AJ63" s="46" t="s">
        <v>731</v>
      </c>
    </row>
    <row r="64" spans="1:36" x14ac:dyDescent="0.25">
      <c r="A64" s="3" t="s">
        <v>54</v>
      </c>
      <c r="B64" s="1" t="s">
        <v>63</v>
      </c>
      <c r="C64" s="1" t="s">
        <v>63</v>
      </c>
      <c r="D64" s="9" t="s">
        <v>63</v>
      </c>
      <c r="E64" s="39" t="s">
        <v>731</v>
      </c>
      <c r="F64" s="40" t="s">
        <v>731</v>
      </c>
      <c r="G64" s="40" t="s">
        <v>731</v>
      </c>
      <c r="H64" s="40" t="s">
        <v>731</v>
      </c>
      <c r="I64" s="40" t="s">
        <v>731</v>
      </c>
      <c r="J64" s="1"/>
      <c r="K64" s="1" t="s">
        <v>17</v>
      </c>
      <c r="L64" s="1" t="s">
        <v>562</v>
      </c>
      <c r="M64" s="9" t="str">
        <f>ROUND((3*MIN('[1]Citoquinas todos los datos'!K38,'[1]Citoquinas todos los datos'!K46)+MAX('[1]Citoquinas todos los datos'!K38,'[1]Citoquinas todos los datos'!K46))/4,3)&amp;" - "&amp;ROUND((MIN('[1]Citoquinas todos los datos'!K38,'[1]Citoquinas todos los datos'!K46)+3*MAX('[1]Citoquinas todos los datos'!K38,'[1]Citoquinas todos los datos'!K46))/4,3)</f>
        <v>75,843 - 162,728</v>
      </c>
      <c r="N64" s="39" t="s">
        <v>731</v>
      </c>
      <c r="O64" s="39" t="s">
        <v>731</v>
      </c>
      <c r="P64" s="39" t="s">
        <v>731</v>
      </c>
      <c r="Q64" s="39" t="s">
        <v>731</v>
      </c>
      <c r="R64" s="39" t="s">
        <v>731</v>
      </c>
      <c r="S64" s="9"/>
      <c r="T64" s="1" t="s">
        <v>72</v>
      </c>
      <c r="U64" s="1" t="s">
        <v>563</v>
      </c>
      <c r="V64" s="9" t="str">
        <f>ROUND('[1]Citoquinas todos los datos'!K39,3)&amp;" - "&amp;ROUND('[1]Citoquinas todos los datos'!K39,3)</f>
        <v>7,91 - 7,91</v>
      </c>
      <c r="W64" s="39" t="s">
        <v>731</v>
      </c>
      <c r="X64" s="39" t="s">
        <v>731</v>
      </c>
      <c r="Y64" s="39" t="s">
        <v>731</v>
      </c>
      <c r="Z64" s="39" t="s">
        <v>731</v>
      </c>
      <c r="AA64" s="39" t="s">
        <v>731</v>
      </c>
      <c r="AB64" s="9"/>
      <c r="AC64" s="1" t="s">
        <v>17</v>
      </c>
      <c r="AD64" s="1" t="s">
        <v>564</v>
      </c>
      <c r="AE64" s="9" t="str">
        <f>ROUND((3*MIN('[1]Citoquinas todos los datos'!K41,'[1]Citoquinas todos los datos'!K45)+MAX('[1]Citoquinas todos los datos'!K41,'[1]Citoquinas todos los datos'!K45))/4,3)&amp;" - "&amp;ROUND((MIN('[1]Citoquinas todos los datos'!K41,'[1]Citoquinas todos los datos'!K45)+3*MAX('[1]Citoquinas todos los datos'!K41,'[1]Citoquinas todos los datos'!K45))/4,3)</f>
        <v>5,785 - 7,715</v>
      </c>
      <c r="AF64" s="39" t="s">
        <v>731</v>
      </c>
      <c r="AG64" s="46" t="s">
        <v>731</v>
      </c>
      <c r="AH64" s="46" t="s">
        <v>731</v>
      </c>
      <c r="AI64" s="46" t="s">
        <v>731</v>
      </c>
      <c r="AJ64" s="46" t="s">
        <v>731</v>
      </c>
    </row>
    <row r="65" spans="1:36" x14ac:dyDescent="0.25">
      <c r="A65" s="3" t="s">
        <v>59</v>
      </c>
      <c r="B65" s="1" t="s">
        <v>17</v>
      </c>
      <c r="C65" s="1" t="s">
        <v>565</v>
      </c>
      <c r="D65" s="9" t="str">
        <f>ROUND((3*MIN('[1]Citoquinas todos los datos'!K63,'[1]Citoquinas todos los datos'!K66)+MAX('[1]Citoquinas todos los datos'!K63,'[1]Citoquinas todos los datos'!K66))/4,3)&amp;" - "&amp;ROUND((MIN('[1]Citoquinas todos los datos'!K63,'[1]Citoquinas todos los datos'!K66)+3*MAX('[1]Citoquinas todos los datos'!K63,'[1]Citoquinas todos los datos'!K66))/4,3)</f>
        <v>53,455 - 119,405</v>
      </c>
      <c r="E65" s="39" t="s">
        <v>731</v>
      </c>
      <c r="F65" s="40" t="s">
        <v>731</v>
      </c>
      <c r="G65" s="40" t="s">
        <v>731</v>
      </c>
      <c r="H65" s="40" t="s">
        <v>731</v>
      </c>
      <c r="I65" s="40" t="s">
        <v>731</v>
      </c>
      <c r="J65" s="1"/>
      <c r="K65" s="1" t="s">
        <v>72</v>
      </c>
      <c r="L65" s="1" t="s">
        <v>566</v>
      </c>
      <c r="M65" s="9" t="str">
        <f>ROUND('[1]Citoquinas todos los datos'!K65,3)&amp;" - "&amp;ROUND('[1]Citoquinas todos los datos'!K65,3)</f>
        <v>21,92 - 21,92</v>
      </c>
      <c r="N65" s="39" t="s">
        <v>731</v>
      </c>
      <c r="O65" s="39" t="s">
        <v>731</v>
      </c>
      <c r="P65" s="39" t="s">
        <v>731</v>
      </c>
      <c r="Q65" s="39" t="s">
        <v>731</v>
      </c>
      <c r="R65" s="39" t="s">
        <v>731</v>
      </c>
      <c r="S65" s="9"/>
      <c r="T65" s="1" t="s">
        <v>72</v>
      </c>
      <c r="U65" s="1" t="s">
        <v>566</v>
      </c>
      <c r="V65" s="9" t="str">
        <f>ROUND('[1]Citoquinas todos los datos'!K65,3)&amp;" - "&amp;ROUND('[1]Citoquinas todos los datos'!K65,3)</f>
        <v>21,92 - 21,92</v>
      </c>
      <c r="W65" s="39" t="s">
        <v>731</v>
      </c>
      <c r="X65" s="39" t="s">
        <v>731</v>
      </c>
      <c r="Y65" s="39" t="s">
        <v>731</v>
      </c>
      <c r="Z65" s="39" t="s">
        <v>731</v>
      </c>
      <c r="AA65" s="39" t="s">
        <v>731</v>
      </c>
      <c r="AB65" s="9"/>
      <c r="AC65" s="1" t="s">
        <v>63</v>
      </c>
      <c r="AD65" s="1" t="s">
        <v>63</v>
      </c>
      <c r="AE65" s="9" t="s">
        <v>63</v>
      </c>
      <c r="AF65" s="39" t="s">
        <v>731</v>
      </c>
      <c r="AG65" s="46" t="s">
        <v>731</v>
      </c>
      <c r="AH65" s="46" t="s">
        <v>731</v>
      </c>
      <c r="AI65" s="46" t="s">
        <v>731</v>
      </c>
      <c r="AJ65" s="46" t="s">
        <v>731</v>
      </c>
    </row>
    <row r="66" spans="1:36" x14ac:dyDescent="0.25">
      <c r="A66" s="3" t="s">
        <v>64</v>
      </c>
      <c r="B66" s="1" t="s">
        <v>72</v>
      </c>
      <c r="C66" s="1" t="s">
        <v>567</v>
      </c>
      <c r="D66" s="9" t="str">
        <f>ROUND('[1]Citoquinas todos los datos'!K69,3)&amp;" - "&amp;ROUND('[1]Citoquinas todos los datos'!K69,3)</f>
        <v>49,48 - 49,48</v>
      </c>
      <c r="E66" s="39" t="s">
        <v>731</v>
      </c>
      <c r="F66" s="40" t="s">
        <v>731</v>
      </c>
      <c r="G66" s="40" t="s">
        <v>731</v>
      </c>
      <c r="H66" s="40" t="s">
        <v>731</v>
      </c>
      <c r="I66" s="40" t="s">
        <v>731</v>
      </c>
      <c r="J66" s="1"/>
      <c r="K66" s="1" t="s">
        <v>72</v>
      </c>
      <c r="L66" s="1" t="s">
        <v>568</v>
      </c>
      <c r="M66" s="9" t="str">
        <f>ROUND('[1]Citoquinas todos los datos'!K68,3)&amp;" - "&amp;ROUND('[1]Citoquinas todos los datos'!K68,3)</f>
        <v>2,3 - 2,3</v>
      </c>
      <c r="N66" s="39" t="s">
        <v>731</v>
      </c>
      <c r="O66" s="39" t="s">
        <v>731</v>
      </c>
      <c r="P66" s="39" t="s">
        <v>731</v>
      </c>
      <c r="Q66" s="39" t="s">
        <v>731</v>
      </c>
      <c r="R66" s="39" t="s">
        <v>731</v>
      </c>
      <c r="S66" s="9"/>
      <c r="T66" s="1" t="s">
        <v>72</v>
      </c>
      <c r="U66" s="1" t="s">
        <v>568</v>
      </c>
      <c r="V66" s="9" t="str">
        <f>ROUND('[1]Citoquinas todos los datos'!K68,3)&amp;" - "&amp;ROUND('[1]Citoquinas todos los datos'!K68,3)</f>
        <v>2,3 - 2,3</v>
      </c>
      <c r="W66" s="39" t="s">
        <v>731</v>
      </c>
      <c r="X66" s="39" t="s">
        <v>731</v>
      </c>
      <c r="Y66" s="39" t="s">
        <v>731</v>
      </c>
      <c r="Z66" s="39" t="s">
        <v>731</v>
      </c>
      <c r="AA66" s="39" t="s">
        <v>731</v>
      </c>
      <c r="AB66" s="9"/>
      <c r="AC66" s="1" t="s">
        <v>17</v>
      </c>
      <c r="AD66" s="1" t="s">
        <v>569</v>
      </c>
      <c r="AE66" s="9" t="str">
        <f>ROUND((3*MIN('[1]Citoquinas todos los datos'!K70,'[1]Citoquinas todos los datos'!K73)+MAX('[1]Citoquinas todos los datos'!K70,'[1]Citoquinas todos los datos'!K73))/4,3)&amp;" - "&amp;ROUND((MIN('[1]Citoquinas todos los datos'!K70,'[1]Citoquinas todos los datos'!K73)+3*MAX('[1]Citoquinas todos los datos'!K70,'[1]Citoquinas todos los datos'!K73))/4,3)</f>
        <v>17,068 - 17,683</v>
      </c>
      <c r="AF66" s="39" t="s">
        <v>731</v>
      </c>
      <c r="AG66" s="46" t="s">
        <v>731</v>
      </c>
      <c r="AH66" s="46" t="s">
        <v>731</v>
      </c>
      <c r="AI66" s="46" t="s">
        <v>731</v>
      </c>
      <c r="AJ66" s="46" t="s">
        <v>731</v>
      </c>
    </row>
    <row r="67" spans="1:36" x14ac:dyDescent="0.25">
      <c r="A67" s="36" t="s">
        <v>570</v>
      </c>
      <c r="B67" s="1"/>
      <c r="C67" s="1"/>
      <c r="D67" s="9"/>
      <c r="E67" s="9"/>
      <c r="F67" s="1"/>
      <c r="J67" s="1"/>
      <c r="K67" s="1"/>
      <c r="L67" s="1"/>
      <c r="M67" s="9"/>
      <c r="N67" s="9"/>
      <c r="O67" s="9"/>
      <c r="S67" s="9"/>
      <c r="T67" s="1"/>
      <c r="U67" s="1"/>
      <c r="V67" s="9"/>
      <c r="W67" s="9"/>
      <c r="X67" s="9"/>
      <c r="AB67" s="9"/>
      <c r="AC67" s="1"/>
      <c r="AD67" s="1"/>
      <c r="AE67" s="9"/>
      <c r="AF67" s="9"/>
    </row>
    <row r="68" spans="1:36" x14ac:dyDescent="0.25">
      <c r="A68" s="3" t="s">
        <v>14</v>
      </c>
      <c r="B68" s="1" t="s">
        <v>15</v>
      </c>
      <c r="C68" s="1" t="s">
        <v>571</v>
      </c>
      <c r="D68" s="9" t="str">
        <f>ROUND((MIN('[1]Citoquinas todos los datos'!L52,'[1]Citoquinas todos los datos'!L56,'[1]Citoquinas todos los datos'!L60)+MEDIAN('[1]Citoquinas todos los datos'!L52,'[1]Citoquinas todos los datos'!L56,'[1]Citoquinas todos los datos'!L60))/2,3)&amp;" - "&amp;ROUND((MEDIAN('[1]Citoquinas todos los datos'!L52,'[1]Citoquinas todos los datos'!L56,'[1]Citoquinas todos los datos'!L60)+MAX('[1]Citoquinas todos los datos'!L52,'[1]Citoquinas todos los datos'!L56,'[1]Citoquinas todos los datos'!L60))/2,3)</f>
        <v>41,19 - 43,685</v>
      </c>
      <c r="E68" s="39">
        <v>1</v>
      </c>
      <c r="F68" s="40">
        <v>0</v>
      </c>
      <c r="G68" s="40">
        <v>0</v>
      </c>
      <c r="H68" s="40">
        <v>0</v>
      </c>
      <c r="I68" s="40">
        <v>0</v>
      </c>
      <c r="J68" s="1"/>
      <c r="K68" s="1" t="s">
        <v>72</v>
      </c>
      <c r="L68" s="1" t="s">
        <v>572</v>
      </c>
      <c r="M68" s="9" t="str">
        <f>ROUND('[1]Citoquinas todos los datos'!L58,3)&amp;" - "&amp;ROUND('[1]Citoquinas todos los datos'!L58,3)</f>
        <v>39,44 - 39,44</v>
      </c>
      <c r="N68" s="39">
        <v>1</v>
      </c>
      <c r="O68" s="39">
        <v>0</v>
      </c>
      <c r="P68" s="39">
        <v>0</v>
      </c>
      <c r="Q68" s="39">
        <v>0</v>
      </c>
      <c r="R68" s="39">
        <v>0</v>
      </c>
      <c r="S68" s="9"/>
      <c r="T68" s="1" t="s">
        <v>72</v>
      </c>
      <c r="U68" s="1" t="s">
        <v>573</v>
      </c>
      <c r="V68" s="9" t="str">
        <f>ROUND('[1]Citoquinas todos los datos'!L51,3)&amp;" - "&amp;ROUND('[1]Citoquinas todos los datos'!L51,3)</f>
        <v>35,64 - 35,64</v>
      </c>
      <c r="W68" s="39">
        <v>1</v>
      </c>
      <c r="X68" s="39">
        <v>0</v>
      </c>
      <c r="Y68" s="39">
        <v>0</v>
      </c>
      <c r="Z68" s="39">
        <v>0</v>
      </c>
      <c r="AA68" s="39">
        <v>0</v>
      </c>
      <c r="AB68" s="9"/>
      <c r="AC68" s="1" t="s">
        <v>72</v>
      </c>
      <c r="AD68" s="1" t="s">
        <v>574</v>
      </c>
      <c r="AE68" s="9" t="str">
        <f>ROUND('[1]Citoquinas todos los datos'!L61,3)&amp;" - "&amp;ROUND('[1]Citoquinas todos los datos'!L61,3)</f>
        <v>39,35 - 39,35</v>
      </c>
      <c r="AF68" s="39">
        <v>1</v>
      </c>
      <c r="AG68" s="46">
        <v>0</v>
      </c>
      <c r="AH68" s="46">
        <v>0</v>
      </c>
      <c r="AI68" s="46">
        <v>0</v>
      </c>
      <c r="AJ68" s="46">
        <v>0</v>
      </c>
    </row>
    <row r="69" spans="1:36" x14ac:dyDescent="0.25">
      <c r="A69" s="3" t="s">
        <v>25</v>
      </c>
      <c r="B69" s="1" t="s">
        <v>17</v>
      </c>
      <c r="C69" s="1" t="s">
        <v>575</v>
      </c>
      <c r="D69" s="9" t="str">
        <f>ROUND((3*MIN('[1]Citoquinas todos los datos'!L80,'[1]Citoquinas todos los datos'!L84)+MAX('[1]Citoquinas todos los datos'!L80,'[1]Citoquinas todos los datos'!L84))/4,3)&amp;" - "&amp;ROUND((MIN('[1]Citoquinas todos los datos'!L80,'[1]Citoquinas todos los datos'!L84)+3*MAX('[1]Citoquinas todos los datos'!L80,'[1]Citoquinas todos los datos'!L84))/4,3)</f>
        <v>40,548 - 41,463</v>
      </c>
      <c r="E69" s="39">
        <v>0.96459656551399686</v>
      </c>
      <c r="F69" s="40">
        <v>-5.2002421553825777E-2</v>
      </c>
      <c r="G69" s="40">
        <v>-3.5403434486003138</v>
      </c>
      <c r="H69" s="40">
        <v>-1.5049999999999955</v>
      </c>
      <c r="I69" s="40">
        <v>-1.802071484164516E-2</v>
      </c>
      <c r="J69" s="1"/>
      <c r="K69" s="1" t="s">
        <v>15</v>
      </c>
      <c r="L69" s="1" t="s">
        <v>576</v>
      </c>
      <c r="M69" s="9" t="str">
        <f>ROUND((MIN('[1]Citoquinas todos los datos'!L74,'[1]Citoquinas todos los datos'!L78,'[1]Citoquinas todos los datos'!L82)+MEDIAN('[1]Citoquinas todos los datos'!L74,'[1]Citoquinas todos los datos'!L78,'[1]Citoquinas todos los datos'!L82))/2,3)&amp;" - "&amp;ROUND((MEDIAN('[1]Citoquinas todos los datos'!L74,'[1]Citoquinas todos los datos'!L78,'[1]Citoquinas todos los datos'!L82)+MAX('[1]Citoquinas todos los datos'!L74,'[1]Citoquinas todos los datos'!L78,'[1]Citoquinas todos los datos'!L82))/2,3)</f>
        <v>41,38 - 43,555</v>
      </c>
      <c r="N69" s="39" t="s">
        <v>731</v>
      </c>
      <c r="O69" s="39" t="s">
        <v>731</v>
      </c>
      <c r="P69" s="39" t="s">
        <v>731</v>
      </c>
      <c r="Q69" s="39" t="s">
        <v>731</v>
      </c>
      <c r="R69" s="39" t="s">
        <v>731</v>
      </c>
      <c r="S69" s="9"/>
      <c r="T69" s="1" t="s">
        <v>72</v>
      </c>
      <c r="U69" s="1" t="s">
        <v>577</v>
      </c>
      <c r="V69" s="9" t="str">
        <f>ROUND('[1]Citoquinas todos los datos'!L75,3)&amp;" - "&amp;ROUND('[1]Citoquinas todos los datos'!L75,3)</f>
        <v>42,81 - 42,81</v>
      </c>
      <c r="W69" s="39" t="s">
        <v>731</v>
      </c>
      <c r="X69" s="39" t="s">
        <v>731</v>
      </c>
      <c r="Y69" s="39" t="s">
        <v>731</v>
      </c>
      <c r="Z69" s="39" t="s">
        <v>731</v>
      </c>
      <c r="AA69" s="39" t="s">
        <v>731</v>
      </c>
      <c r="AB69" s="9"/>
      <c r="AC69" s="1" t="s">
        <v>72</v>
      </c>
      <c r="AD69" s="1" t="s">
        <v>578</v>
      </c>
      <c r="AE69" s="9" t="str">
        <f>ROUND('[1]Citoquinas todos los datos'!L77,3)&amp;" - "&amp;ROUND('[1]Citoquinas todos los datos'!L77,3)</f>
        <v>37,82 - 37,82</v>
      </c>
      <c r="AF69" s="39" t="s">
        <v>731</v>
      </c>
      <c r="AG69" s="46" t="s">
        <v>731</v>
      </c>
      <c r="AH69" s="46" t="s">
        <v>731</v>
      </c>
      <c r="AI69" s="46" t="s">
        <v>731</v>
      </c>
      <c r="AJ69" s="46" t="s">
        <v>731</v>
      </c>
    </row>
    <row r="70" spans="1:36" x14ac:dyDescent="0.25">
      <c r="A70" s="3" t="s">
        <v>35</v>
      </c>
      <c r="B70" s="1" t="s">
        <v>17</v>
      </c>
      <c r="C70" s="1" t="s">
        <v>579</v>
      </c>
      <c r="D70" s="9" t="str">
        <f>ROUND((3*MIN('[1]Citoquinas todos los datos'!L4,'[1]Citoquinas todos los datos'!L12)+MAX('[1]Citoquinas todos los datos'!L4,'[1]Citoquinas todos los datos'!L12))/4,3)&amp;" - "&amp;ROUND((MIN('[1]Citoquinas todos los datos'!L4,'[1]Citoquinas todos los datos'!L12)+3*MAX('[1]Citoquinas todos los datos'!L4,'[1]Citoquinas todos los datos'!L12))/4,3)</f>
        <v>39,998 - 40,433</v>
      </c>
      <c r="E70" s="39">
        <v>0.94601270289343697</v>
      </c>
      <c r="F70" s="40">
        <v>-8.0068538935457123E-2</v>
      </c>
      <c r="G70" s="40">
        <v>-5.398729710656303</v>
      </c>
      <c r="H70" s="40">
        <v>-2.2949999999999946</v>
      </c>
      <c r="I70" s="40">
        <v>-2.7742520398911993E-2</v>
      </c>
      <c r="J70" s="1"/>
      <c r="K70" s="1" t="s">
        <v>17</v>
      </c>
      <c r="L70" s="1" t="s">
        <v>580</v>
      </c>
      <c r="M70" s="9" t="str">
        <f>ROUND((3*MIN('[1]Citoquinas todos los datos'!L2,'[1]Citoquinas todos los datos'!L6)+MAX('[1]Citoquinas todos los datos'!L2,'[1]Citoquinas todos los datos'!L6))/4,3)&amp;" - "&amp;ROUND((MIN('[1]Citoquinas todos los datos'!L2,'[1]Citoquinas todos los datos'!L6)+3*MAX('[1]Citoquinas todos los datos'!L2,'[1]Citoquinas todos los datos'!L6))/4,3)</f>
        <v>38,445 - 44,715</v>
      </c>
      <c r="N70" s="39" t="s">
        <v>731</v>
      </c>
      <c r="O70" s="39" t="s">
        <v>731</v>
      </c>
      <c r="P70" s="39" t="s">
        <v>731</v>
      </c>
      <c r="Q70" s="39" t="s">
        <v>731</v>
      </c>
      <c r="R70" s="39" t="s">
        <v>731</v>
      </c>
      <c r="S70" s="9"/>
      <c r="T70" s="1" t="s">
        <v>72</v>
      </c>
      <c r="U70" s="1" t="s">
        <v>581</v>
      </c>
      <c r="V70" s="9" t="str">
        <f>ROUND('[1]Citoquinas todos los datos'!L3,3)&amp;" - "&amp;ROUND('[1]Citoquinas todos los datos'!L3,3)</f>
        <v>53,13 - 53,13</v>
      </c>
      <c r="W70" s="39" t="s">
        <v>731</v>
      </c>
      <c r="X70" s="39" t="s">
        <v>731</v>
      </c>
      <c r="Y70" s="39" t="s">
        <v>731</v>
      </c>
      <c r="Z70" s="39" t="s">
        <v>731</v>
      </c>
      <c r="AA70" s="39" t="s">
        <v>731</v>
      </c>
      <c r="AB70" s="9"/>
      <c r="AC70" s="1" t="s">
        <v>72</v>
      </c>
      <c r="AD70" s="1" t="s">
        <v>582</v>
      </c>
      <c r="AE70" s="9" t="str">
        <f>ROUND('[1]Citoquinas todos los datos'!L9,3)&amp;" - "&amp;ROUND('[1]Citoquinas todos los datos'!L9,3)</f>
        <v>37,5 - 37,5</v>
      </c>
      <c r="AF70" s="39" t="s">
        <v>731</v>
      </c>
      <c r="AG70" s="46" t="s">
        <v>731</v>
      </c>
      <c r="AH70" s="46" t="s">
        <v>731</v>
      </c>
      <c r="AI70" s="46" t="s">
        <v>731</v>
      </c>
      <c r="AJ70" s="46" t="s">
        <v>731</v>
      </c>
    </row>
    <row r="71" spans="1:36" x14ac:dyDescent="0.25">
      <c r="A71" s="3" t="s">
        <v>42</v>
      </c>
      <c r="B71" s="1" t="s">
        <v>17</v>
      </c>
      <c r="C71" s="1" t="s">
        <v>583</v>
      </c>
      <c r="D71" s="9" t="str">
        <f>ROUND((3*MIN('[1]Citoquinas todos los datos'!L20,'[1]Citoquinas todos los datos'!L24)+MAX('[1]Citoquinas todos los datos'!L20,'[1]Citoquinas todos los datos'!L24))/4,3)&amp;" - "&amp;ROUND((MIN('[1]Citoquinas todos los datos'!L20,'[1]Citoquinas todos los datos'!L24)+3*MAX('[1]Citoquinas todos los datos'!L20,'[1]Citoquinas todos los datos'!L24))/4,3)</f>
        <v>39,555 - 40,285</v>
      </c>
      <c r="E71" s="39">
        <v>0.93907315925664558</v>
      </c>
      <c r="F71" s="40">
        <v>-9.0690538301914023E-2</v>
      </c>
      <c r="G71" s="40">
        <v>-6.0926840743354411</v>
      </c>
      <c r="H71" s="40">
        <v>-2.5899999999999963</v>
      </c>
      <c r="I71" s="40">
        <v>-3.1420599296372635E-2</v>
      </c>
      <c r="J71" s="1"/>
      <c r="K71" s="1" t="s">
        <v>72</v>
      </c>
      <c r="L71" s="1" t="s">
        <v>584</v>
      </c>
      <c r="M71" s="9" t="str">
        <f>ROUND('[1]Citoquinas todos los datos'!L14,3)&amp;" - "&amp;ROUND('[1]Citoquinas todos los datos'!L14,3)</f>
        <v>40,84 - 40,84</v>
      </c>
      <c r="N71" s="39" t="s">
        <v>731</v>
      </c>
      <c r="O71" s="39" t="s">
        <v>731</v>
      </c>
      <c r="P71" s="39" t="s">
        <v>731</v>
      </c>
      <c r="Q71" s="39" t="s">
        <v>731</v>
      </c>
      <c r="R71" s="39" t="s">
        <v>731</v>
      </c>
      <c r="S71" s="9"/>
      <c r="T71" s="1" t="s">
        <v>72</v>
      </c>
      <c r="U71" s="1" t="s">
        <v>585</v>
      </c>
      <c r="V71" s="9" t="str">
        <f>ROUND('[1]Citoquinas todos los datos'!L23,3)&amp;" - "&amp;ROUND('[1]Citoquinas todos los datos'!L23,3)</f>
        <v>34,13 - 34,13</v>
      </c>
      <c r="W71" s="39" t="s">
        <v>731</v>
      </c>
      <c r="X71" s="39" t="s">
        <v>731</v>
      </c>
      <c r="Y71" s="39" t="s">
        <v>731</v>
      </c>
      <c r="Z71" s="39" t="s">
        <v>731</v>
      </c>
      <c r="AA71" s="39" t="s">
        <v>731</v>
      </c>
      <c r="AB71" s="9"/>
      <c r="AC71" s="1" t="s">
        <v>17</v>
      </c>
      <c r="AD71" s="1" t="s">
        <v>586</v>
      </c>
      <c r="AE71" s="9" t="str">
        <f>ROUND((3*MIN('[1]Citoquinas todos los datos'!L21,'[1]Citoquinas todos los datos'!L25)+MAX('[1]Citoquinas todos los datos'!L21,'[1]Citoquinas todos los datos'!L25))/4,3)&amp;" - "&amp;ROUND((MIN('[1]Citoquinas todos los datos'!L21,'[1]Citoquinas todos los datos'!L25)+3*MAX('[1]Citoquinas todos los datos'!L21,'[1]Citoquinas todos los datos'!L25))/4,3)</f>
        <v>43,225 - 45,475</v>
      </c>
      <c r="AF71" s="39" t="s">
        <v>731</v>
      </c>
      <c r="AG71" s="46" t="s">
        <v>731</v>
      </c>
      <c r="AH71" s="46" t="s">
        <v>731</v>
      </c>
      <c r="AI71" s="46" t="s">
        <v>731</v>
      </c>
      <c r="AJ71" s="46" t="s">
        <v>731</v>
      </c>
    </row>
    <row r="72" spans="1:36" x14ac:dyDescent="0.25">
      <c r="A72" s="3" t="s">
        <v>48</v>
      </c>
      <c r="B72" s="1" t="s">
        <v>72</v>
      </c>
      <c r="C72" s="1" t="s">
        <v>587</v>
      </c>
      <c r="D72" s="9" t="str">
        <f>ROUND('[1]Citoquinas todos los datos'!L32,3)&amp;" - "&amp;ROUND('[1]Citoquinas todos los datos'!L32,3)</f>
        <v>45,72 - 45,72</v>
      </c>
      <c r="E72" s="39" t="s">
        <v>731</v>
      </c>
      <c r="F72" s="40" t="s">
        <v>731</v>
      </c>
      <c r="G72" s="40" t="s">
        <v>731</v>
      </c>
      <c r="H72" s="40" t="s">
        <v>731</v>
      </c>
      <c r="I72" s="40" t="s">
        <v>731</v>
      </c>
      <c r="J72" s="1"/>
      <c r="K72" s="1" t="s">
        <v>72</v>
      </c>
      <c r="L72" s="1" t="s">
        <v>588</v>
      </c>
      <c r="M72" s="9" t="str">
        <f>ROUND('[1]Citoquinas todos los datos'!L30,3)&amp;" - "&amp;ROUND('[1]Citoquinas todos los datos'!L30,3)</f>
        <v>42,77 - 42,77</v>
      </c>
      <c r="N72" s="39" t="s">
        <v>731</v>
      </c>
      <c r="O72" s="39" t="s">
        <v>731</v>
      </c>
      <c r="P72" s="39" t="s">
        <v>731</v>
      </c>
      <c r="Q72" s="39" t="s">
        <v>731</v>
      </c>
      <c r="R72" s="39" t="s">
        <v>731</v>
      </c>
      <c r="S72" s="9"/>
      <c r="T72" s="1" t="s">
        <v>17</v>
      </c>
      <c r="U72" s="1" t="s">
        <v>589</v>
      </c>
      <c r="V72" s="9" t="str">
        <f>ROUND((3*MIN('[1]Citoquinas todos los datos'!L27,'[1]Citoquinas todos los datos'!L31)+MAX('[1]Citoquinas todos los datos'!L27,'[1]Citoquinas todos los datos'!L31))/4,3)&amp;" - "&amp;ROUND((MIN('[1]Citoquinas todos los datos'!L27,'[1]Citoquinas todos los datos'!L31)+3*MAX('[1]Citoquinas todos los datos'!L27,'[1]Citoquinas todos los datos'!L31))/4,3)</f>
        <v>39,37 - 43,11</v>
      </c>
      <c r="W72" s="39" t="s">
        <v>731</v>
      </c>
      <c r="X72" s="39" t="s">
        <v>731</v>
      </c>
      <c r="Y72" s="39" t="s">
        <v>731</v>
      </c>
      <c r="Z72" s="39" t="s">
        <v>731</v>
      </c>
      <c r="AA72" s="39" t="s">
        <v>731</v>
      </c>
      <c r="AB72" s="9"/>
      <c r="AC72" s="1" t="s">
        <v>63</v>
      </c>
      <c r="AD72" s="1" t="s">
        <v>63</v>
      </c>
      <c r="AE72" s="9" t="s">
        <v>63</v>
      </c>
      <c r="AF72" s="39" t="s">
        <v>731</v>
      </c>
      <c r="AG72" s="46" t="s">
        <v>731</v>
      </c>
      <c r="AH72" s="46" t="s">
        <v>731</v>
      </c>
      <c r="AI72" s="46" t="s">
        <v>731</v>
      </c>
      <c r="AJ72" s="46" t="s">
        <v>731</v>
      </c>
    </row>
    <row r="73" spans="1:36" x14ac:dyDescent="0.25">
      <c r="A73" s="3" t="s">
        <v>54</v>
      </c>
      <c r="B73" s="1" t="s">
        <v>63</v>
      </c>
      <c r="C73" s="1" t="s">
        <v>63</v>
      </c>
      <c r="D73" s="9" t="s">
        <v>63</v>
      </c>
      <c r="E73" s="39" t="s">
        <v>731</v>
      </c>
      <c r="F73" s="40" t="s">
        <v>731</v>
      </c>
      <c r="G73" s="40" t="s">
        <v>731</v>
      </c>
      <c r="H73" s="40" t="s">
        <v>731</v>
      </c>
      <c r="I73" s="40" t="s">
        <v>731</v>
      </c>
      <c r="J73" s="1"/>
      <c r="K73" s="1" t="s">
        <v>17</v>
      </c>
      <c r="L73" s="1" t="s">
        <v>590</v>
      </c>
      <c r="M73" s="9" t="str">
        <f>ROUND((3*MIN('[1]Citoquinas todos los datos'!L42,'[1]Citoquinas todos los datos'!L46)+MAX('[1]Citoquinas todos los datos'!L42,'[1]Citoquinas todos los datos'!L46))/4,3)&amp;" - "&amp;ROUND((MIN('[1]Citoquinas todos los datos'!L42,'[1]Citoquinas todos los datos'!L46)+3*MAX('[1]Citoquinas todos los datos'!L42,'[1]Citoquinas todos los datos'!L46))/4,3)</f>
        <v>40,815 - 41,645</v>
      </c>
      <c r="N73" s="39" t="s">
        <v>731</v>
      </c>
      <c r="O73" s="39" t="s">
        <v>731</v>
      </c>
      <c r="P73" s="39" t="s">
        <v>731</v>
      </c>
      <c r="Q73" s="39" t="s">
        <v>731</v>
      </c>
      <c r="R73" s="39" t="s">
        <v>731</v>
      </c>
      <c r="S73" s="9"/>
      <c r="T73" s="1" t="s">
        <v>63</v>
      </c>
      <c r="U73" s="1" t="s">
        <v>63</v>
      </c>
      <c r="V73" s="9" t="s">
        <v>63</v>
      </c>
      <c r="W73" s="39" t="s">
        <v>731</v>
      </c>
      <c r="X73" s="39" t="s">
        <v>731</v>
      </c>
      <c r="Y73" s="39" t="s">
        <v>731</v>
      </c>
      <c r="Z73" s="39" t="s">
        <v>731</v>
      </c>
      <c r="AA73" s="39" t="s">
        <v>731</v>
      </c>
      <c r="AB73" s="9"/>
      <c r="AC73" s="1" t="s">
        <v>17</v>
      </c>
      <c r="AD73" s="1" t="s">
        <v>591</v>
      </c>
      <c r="AE73" s="9" t="str">
        <f>ROUND((3*MIN('[1]Citoquinas todos los datos'!L41,'[1]Citoquinas todos los datos'!L49)+MAX('[1]Citoquinas todos los datos'!L41,'[1]Citoquinas todos los datos'!L49))/4,3)&amp;" - "&amp;ROUND((MIN('[1]Citoquinas todos los datos'!L41,'[1]Citoquinas todos los datos'!L49)+3*MAX('[1]Citoquinas todos los datos'!L41,'[1]Citoquinas todos los datos'!L49))/4,3)</f>
        <v>38,11 - 41,31</v>
      </c>
      <c r="AF73" s="39" t="s">
        <v>731</v>
      </c>
      <c r="AG73" s="46" t="s">
        <v>731</v>
      </c>
      <c r="AH73" s="46" t="s">
        <v>731</v>
      </c>
      <c r="AI73" s="46" t="s">
        <v>731</v>
      </c>
      <c r="AJ73" s="46" t="s">
        <v>731</v>
      </c>
    </row>
    <row r="74" spans="1:36" x14ac:dyDescent="0.25">
      <c r="A74" s="3" t="s">
        <v>59</v>
      </c>
      <c r="B74" s="1" t="s">
        <v>72</v>
      </c>
      <c r="C74" s="1" t="s">
        <v>592</v>
      </c>
      <c r="D74" s="9" t="str">
        <f>ROUND('[1]Citoquinas todos los datos'!L66,3)&amp;" - "&amp;ROUND('[1]Citoquinas todos los datos'!L66,3)</f>
        <v>43,13 - 43,13</v>
      </c>
      <c r="E74" s="39" t="s">
        <v>731</v>
      </c>
      <c r="F74" s="40" t="s">
        <v>731</v>
      </c>
      <c r="G74" s="40" t="s">
        <v>731</v>
      </c>
      <c r="H74" s="40" t="s">
        <v>731</v>
      </c>
      <c r="I74" s="40" t="s">
        <v>731</v>
      </c>
      <c r="J74" s="1"/>
      <c r="K74" s="1" t="s">
        <v>72</v>
      </c>
      <c r="L74" s="1" t="s">
        <v>593</v>
      </c>
      <c r="M74" s="9" t="str">
        <f>ROUND('[1]Citoquinas todos los datos'!L65,3)&amp;" - "&amp;ROUND('[1]Citoquinas todos los datos'!L65,3)</f>
        <v>47,13 - 47,13</v>
      </c>
      <c r="N74" s="39" t="s">
        <v>731</v>
      </c>
      <c r="O74" s="39" t="s">
        <v>731</v>
      </c>
      <c r="P74" s="39" t="s">
        <v>731</v>
      </c>
      <c r="Q74" s="39" t="s">
        <v>731</v>
      </c>
      <c r="R74" s="39" t="s">
        <v>731</v>
      </c>
      <c r="S74" s="9"/>
      <c r="T74" s="1" t="s">
        <v>72</v>
      </c>
      <c r="U74" s="1" t="s">
        <v>593</v>
      </c>
      <c r="V74" s="9" t="str">
        <f>ROUND('[1]Citoquinas todos los datos'!L65,3)&amp;" - "&amp;ROUND('[1]Citoquinas todos los datos'!L65,3)</f>
        <v>47,13 - 47,13</v>
      </c>
      <c r="W74" s="39" t="s">
        <v>731</v>
      </c>
      <c r="X74" s="39" t="s">
        <v>731</v>
      </c>
      <c r="Y74" s="39" t="s">
        <v>731</v>
      </c>
      <c r="Z74" s="39" t="s">
        <v>731</v>
      </c>
      <c r="AA74" s="39" t="s">
        <v>731</v>
      </c>
      <c r="AB74" s="9"/>
      <c r="AC74" s="1" t="s">
        <v>17</v>
      </c>
      <c r="AD74" s="1" t="s">
        <v>594</v>
      </c>
      <c r="AE74" s="9" t="str">
        <f>ROUND((3*MIN('[1]Citoquinas todos los datos'!L64,'[1]Citoquinas todos los datos'!L67)+MAX('[1]Citoquinas todos los datos'!L64,'[1]Citoquinas todos los datos'!L67))/4,3)&amp;" - "&amp;ROUND((MIN('[1]Citoquinas todos los datos'!L64,'[1]Citoquinas todos los datos'!L67)+3*MAX('[1]Citoquinas todos los datos'!L64,'[1]Citoquinas todos los datos'!L67))/4,3)</f>
        <v>44,86 - 45,04</v>
      </c>
      <c r="AF74" s="39" t="s">
        <v>731</v>
      </c>
      <c r="AG74" s="46" t="s">
        <v>731</v>
      </c>
      <c r="AH74" s="46" t="s">
        <v>731</v>
      </c>
      <c r="AI74" s="46" t="s">
        <v>731</v>
      </c>
      <c r="AJ74" s="46" t="s">
        <v>731</v>
      </c>
    </row>
    <row r="75" spans="1:36" x14ac:dyDescent="0.25">
      <c r="A75" s="3" t="s">
        <v>64</v>
      </c>
      <c r="B75" s="1" t="s">
        <v>63</v>
      </c>
      <c r="C75" s="1" t="s">
        <v>63</v>
      </c>
      <c r="D75" s="9" t="s">
        <v>63</v>
      </c>
      <c r="E75" s="39" t="s">
        <v>731</v>
      </c>
      <c r="F75" s="40" t="s">
        <v>731</v>
      </c>
      <c r="G75" s="40" t="s">
        <v>731</v>
      </c>
      <c r="H75" s="40" t="s">
        <v>731</v>
      </c>
      <c r="I75" s="40" t="s">
        <v>731</v>
      </c>
      <c r="J75" s="1"/>
      <c r="K75" s="1" t="s">
        <v>63</v>
      </c>
      <c r="L75" s="1" t="s">
        <v>63</v>
      </c>
      <c r="M75" s="9" t="s">
        <v>63</v>
      </c>
      <c r="N75" s="39" t="s">
        <v>731</v>
      </c>
      <c r="O75" s="39" t="s">
        <v>731</v>
      </c>
      <c r="P75" s="39" t="s">
        <v>731</v>
      </c>
      <c r="Q75" s="39" t="s">
        <v>731</v>
      </c>
      <c r="R75" s="39" t="s">
        <v>731</v>
      </c>
      <c r="S75" s="9"/>
      <c r="T75" s="1" t="s">
        <v>63</v>
      </c>
      <c r="U75" s="1" t="s">
        <v>63</v>
      </c>
      <c r="V75" s="9" t="s">
        <v>63</v>
      </c>
      <c r="W75" s="39" t="s">
        <v>731</v>
      </c>
      <c r="X75" s="39" t="s">
        <v>731</v>
      </c>
      <c r="Y75" s="39" t="s">
        <v>731</v>
      </c>
      <c r="Z75" s="39" t="s">
        <v>731</v>
      </c>
      <c r="AA75" s="39" t="s">
        <v>731</v>
      </c>
      <c r="AB75" s="9"/>
      <c r="AC75" s="1" t="s">
        <v>17</v>
      </c>
      <c r="AD75" s="1" t="s">
        <v>595</v>
      </c>
      <c r="AE75" s="9" t="str">
        <f>ROUND((3*MIN('[1]Citoquinas todos los datos'!L70,'[1]Citoquinas todos los datos'!L73)+MAX('[1]Citoquinas todos los datos'!L70,'[1]Citoquinas todos los datos'!L73))/4,3)&amp;" - "&amp;ROUND((MIN('[1]Citoquinas todos los datos'!L70,'[1]Citoquinas todos los datos'!L73)+3*MAX('[1]Citoquinas todos los datos'!L70,'[1]Citoquinas todos los datos'!L73))/4,3)</f>
        <v>45,328 - 45,583</v>
      </c>
      <c r="AF75" s="39" t="s">
        <v>731</v>
      </c>
      <c r="AG75" s="46" t="s">
        <v>731</v>
      </c>
      <c r="AH75" s="46" t="s">
        <v>731</v>
      </c>
      <c r="AI75" s="46" t="s">
        <v>731</v>
      </c>
      <c r="AJ75" s="46" t="s">
        <v>731</v>
      </c>
    </row>
    <row r="76" spans="1:36" x14ac:dyDescent="0.25">
      <c r="A76" s="36" t="s">
        <v>596</v>
      </c>
      <c r="B76" s="1"/>
      <c r="C76" s="1"/>
      <c r="D76" s="9"/>
      <c r="E76" s="9"/>
      <c r="F76" s="1"/>
      <c r="J76" s="1"/>
      <c r="K76" s="1"/>
      <c r="L76" s="1"/>
      <c r="M76" s="9"/>
      <c r="N76" s="9"/>
      <c r="O76" s="9"/>
      <c r="S76" s="9"/>
      <c r="T76" s="1"/>
      <c r="U76" s="1"/>
      <c r="V76" s="9"/>
      <c r="W76" s="9"/>
      <c r="X76" s="9"/>
      <c r="AB76" s="9"/>
      <c r="AC76" s="1"/>
      <c r="AD76" s="1"/>
      <c r="AE76" s="9"/>
      <c r="AF76" s="9"/>
    </row>
    <row r="77" spans="1:36" x14ac:dyDescent="0.25">
      <c r="A77" s="3" t="s">
        <v>14</v>
      </c>
      <c r="B77" s="1" t="s">
        <v>17</v>
      </c>
      <c r="C77" s="1" t="s">
        <v>597</v>
      </c>
      <c r="D77" s="9" t="str">
        <f>ROUND((3*MIN('[1]Citoquinas todos los datos'!M52,'[1]Citoquinas todos los datos'!M56)+MAX('[1]Citoquinas todos los datos'!M52,'[1]Citoquinas todos los datos'!M56))/4,3)&amp;" - "&amp;ROUND((MIN('[1]Citoquinas todos los datos'!M52,'[1]Citoquinas todos los datos'!M56)+3*MAX('[1]Citoquinas todos los datos'!M52,'[1]Citoquinas todos los datos'!M56))/4,3)</f>
        <v>48,62 - 57,26</v>
      </c>
      <c r="E77" s="39">
        <v>1</v>
      </c>
      <c r="F77" s="40">
        <v>0</v>
      </c>
      <c r="G77" s="40">
        <v>0</v>
      </c>
      <c r="H77" s="40">
        <v>0</v>
      </c>
      <c r="I77" s="40">
        <v>0</v>
      </c>
      <c r="J77" s="1"/>
      <c r="K77" s="1" t="s">
        <v>72</v>
      </c>
      <c r="L77" s="1" t="s">
        <v>598</v>
      </c>
      <c r="M77" s="9" t="str">
        <f>ROUND('[1]Citoquinas todos los datos'!M58,3)&amp;" - "&amp;ROUND('[1]Citoquinas todos los datos'!M58,3)</f>
        <v>43,22 - 43,22</v>
      </c>
      <c r="N77" s="39">
        <v>1</v>
      </c>
      <c r="O77" s="39">
        <v>0</v>
      </c>
      <c r="P77" s="39">
        <v>0</v>
      </c>
      <c r="Q77" s="39">
        <v>0</v>
      </c>
      <c r="R77" s="39">
        <v>0</v>
      </c>
      <c r="S77" s="9"/>
      <c r="T77" s="1" t="s">
        <v>63</v>
      </c>
      <c r="U77" s="1" t="s">
        <v>63</v>
      </c>
      <c r="V77" s="9" t="s">
        <v>63</v>
      </c>
      <c r="W77" s="39" t="s">
        <v>731</v>
      </c>
      <c r="X77" s="39" t="s">
        <v>731</v>
      </c>
      <c r="Y77" s="39" t="s">
        <v>731</v>
      </c>
      <c r="Z77" s="39" t="s">
        <v>731</v>
      </c>
      <c r="AA77" s="39" t="s">
        <v>731</v>
      </c>
      <c r="AB77" s="9"/>
      <c r="AC77" s="1" t="s">
        <v>17</v>
      </c>
      <c r="AD77" s="1" t="s">
        <v>599</v>
      </c>
      <c r="AE77" s="9" t="str">
        <f>ROUND((3*MIN('[1]Citoquinas todos los datos'!M53,'[1]Citoquinas todos los datos'!M57)+MAX('[1]Citoquinas todos los datos'!M53,'[1]Citoquinas todos los datos'!M57))/4,3)&amp;" - "&amp;ROUND((MIN('[1]Citoquinas todos los datos'!M53,'[1]Citoquinas todos los datos'!M57)+3*MAX('[1]Citoquinas todos los datos'!M53,'[1]Citoquinas todos los datos'!M57))/4,3)</f>
        <v>55,743 - 58,548</v>
      </c>
      <c r="AF77" s="39">
        <v>1</v>
      </c>
      <c r="AG77" s="46">
        <v>0</v>
      </c>
      <c r="AH77" s="46">
        <v>0</v>
      </c>
      <c r="AI77" s="46">
        <v>0</v>
      </c>
      <c r="AJ77" s="46">
        <v>0</v>
      </c>
    </row>
    <row r="78" spans="1:36" x14ac:dyDescent="0.25">
      <c r="A78" s="3" t="s">
        <v>25</v>
      </c>
      <c r="B78" s="1" t="s">
        <v>72</v>
      </c>
      <c r="C78" s="1" t="s">
        <v>600</v>
      </c>
      <c r="D78" s="9" t="str">
        <f>ROUND('[1]Citoquinas todos los datos'!M76,3)&amp;" - "&amp;ROUND('[1]Citoquinas todos los datos'!M76,3)</f>
        <v>49,71 - 49,71</v>
      </c>
      <c r="E78" s="39" t="s">
        <v>731</v>
      </c>
      <c r="F78" s="40" t="s">
        <v>731</v>
      </c>
      <c r="G78" s="40" t="s">
        <v>731</v>
      </c>
      <c r="H78" s="40" t="s">
        <v>731</v>
      </c>
      <c r="I78" s="40" t="s">
        <v>731</v>
      </c>
      <c r="J78" s="1"/>
      <c r="K78" s="1" t="s">
        <v>72</v>
      </c>
      <c r="L78" s="1" t="s">
        <v>601</v>
      </c>
      <c r="M78" s="9" t="str">
        <f>ROUND('[1]Citoquinas todos los datos'!M74,3)&amp;" - "&amp;ROUND('[1]Citoquinas todos los datos'!M74,3)</f>
        <v>43,72 - 43,72</v>
      </c>
      <c r="N78" s="39" t="s">
        <v>731</v>
      </c>
      <c r="O78" s="39" t="s">
        <v>731</v>
      </c>
      <c r="P78" s="39" t="s">
        <v>731</v>
      </c>
      <c r="Q78" s="39" t="s">
        <v>731</v>
      </c>
      <c r="R78" s="39" t="s">
        <v>731</v>
      </c>
      <c r="S78" s="9"/>
      <c r="T78" s="1" t="s">
        <v>72</v>
      </c>
      <c r="U78" s="1" t="s">
        <v>602</v>
      </c>
      <c r="V78" s="9" t="str">
        <f>ROUND('[1]Citoquinas todos los datos'!M79,3)&amp;" - "&amp;ROUND('[1]Citoquinas todos los datos'!M79,3)</f>
        <v>42,01 - 42,01</v>
      </c>
      <c r="W78" s="39" t="s">
        <v>731</v>
      </c>
      <c r="X78" s="39" t="s">
        <v>731</v>
      </c>
      <c r="Y78" s="39" t="s">
        <v>731</v>
      </c>
      <c r="Z78" s="39" t="s">
        <v>731</v>
      </c>
      <c r="AA78" s="39" t="s">
        <v>731</v>
      </c>
      <c r="AB78" s="9"/>
      <c r="AC78" s="1" t="s">
        <v>72</v>
      </c>
      <c r="AD78" s="1" t="s">
        <v>603</v>
      </c>
      <c r="AE78" s="9" t="str">
        <f>ROUND('[1]Citoquinas todos los datos'!M77,3)&amp;" - "&amp;ROUND('[1]Citoquinas todos los datos'!M77,3)</f>
        <v>54,75 - 54,75</v>
      </c>
      <c r="AF78" s="39" t="s">
        <v>731</v>
      </c>
      <c r="AG78" s="46" t="s">
        <v>731</v>
      </c>
      <c r="AH78" s="46" t="s">
        <v>731</v>
      </c>
      <c r="AI78" s="46" t="s">
        <v>731</v>
      </c>
      <c r="AJ78" s="46" t="s">
        <v>731</v>
      </c>
    </row>
    <row r="79" spans="1:36" x14ac:dyDescent="0.25">
      <c r="A79" s="3" t="s">
        <v>35</v>
      </c>
      <c r="B79" s="1" t="s">
        <v>17</v>
      </c>
      <c r="C79" s="1" t="s">
        <v>604</v>
      </c>
      <c r="D79" s="9" t="str">
        <f>ROUND((3*MIN('[1]Citoquinas todos los datos'!M4,'[1]Citoquinas todos los datos'!M12)+MAX('[1]Citoquinas todos los datos'!M4,'[1]Citoquinas todos los datos'!M12))/4,3)&amp;" - "&amp;ROUND((MIN('[1]Citoquinas todos los datos'!M4,'[1]Citoquinas todos los datos'!M12)+3*MAX('[1]Citoquinas todos los datos'!M4,'[1]Citoquinas todos los datos'!M12))/4,3)</f>
        <v>37,83 - 42,23</v>
      </c>
      <c r="E79" s="39">
        <v>0.75613902531167365</v>
      </c>
      <c r="F79" s="40">
        <v>-0.40327657910785997</v>
      </c>
      <c r="G79" s="40">
        <v>-24.386097468832634</v>
      </c>
      <c r="H79" s="40">
        <v>-12.909999999999997</v>
      </c>
      <c r="I79" s="40">
        <v>-0.13886199849413786</v>
      </c>
      <c r="J79" s="1"/>
      <c r="K79" s="1" t="s">
        <v>63</v>
      </c>
      <c r="L79" s="1" t="s">
        <v>63</v>
      </c>
      <c r="M79" s="9" t="s">
        <v>63</v>
      </c>
      <c r="N79" s="39" t="s">
        <v>731</v>
      </c>
      <c r="O79" s="39" t="s">
        <v>731</v>
      </c>
      <c r="P79" s="39" t="s">
        <v>731</v>
      </c>
      <c r="Q79" s="39" t="s">
        <v>731</v>
      </c>
      <c r="R79" s="39" t="s">
        <v>731</v>
      </c>
      <c r="S79" s="9"/>
      <c r="T79" s="1" t="s">
        <v>72</v>
      </c>
      <c r="U79" s="1" t="s">
        <v>605</v>
      </c>
      <c r="V79" s="9" t="str">
        <f>ROUND('[1]Citoquinas todos los datos'!M3,3)&amp;" - "&amp;ROUND('[1]Citoquinas todos los datos'!M3,3)</f>
        <v>43,45 - 43,45</v>
      </c>
      <c r="W79" s="39" t="s">
        <v>731</v>
      </c>
      <c r="X79" s="39" t="s">
        <v>731</v>
      </c>
      <c r="Y79" s="39" t="s">
        <v>731</v>
      </c>
      <c r="Z79" s="39" t="s">
        <v>731</v>
      </c>
      <c r="AA79" s="39" t="s">
        <v>731</v>
      </c>
      <c r="AB79" s="9"/>
      <c r="AC79" s="1" t="s">
        <v>72</v>
      </c>
      <c r="AD79" s="1" t="s">
        <v>606</v>
      </c>
      <c r="AE79" s="9" t="str">
        <f>ROUND('[1]Citoquinas todos los datos'!M9,3)&amp;" - "&amp;ROUND('[1]Citoquinas todos los datos'!M9,3)</f>
        <v>45,48 - 45,48</v>
      </c>
      <c r="AF79" s="39" t="s">
        <v>731</v>
      </c>
      <c r="AG79" s="46" t="s">
        <v>731</v>
      </c>
      <c r="AH79" s="46" t="s">
        <v>731</v>
      </c>
      <c r="AI79" s="46" t="s">
        <v>731</v>
      </c>
      <c r="AJ79" s="46" t="s">
        <v>731</v>
      </c>
    </row>
    <row r="80" spans="1:36" x14ac:dyDescent="0.25">
      <c r="A80" s="3" t="s">
        <v>42</v>
      </c>
      <c r="B80" s="1" t="s">
        <v>63</v>
      </c>
      <c r="C80" s="1" t="s">
        <v>63</v>
      </c>
      <c r="D80" s="9" t="s">
        <v>63</v>
      </c>
      <c r="E80" s="39" t="s">
        <v>731</v>
      </c>
      <c r="F80" s="40" t="s">
        <v>731</v>
      </c>
      <c r="G80" s="40" t="s">
        <v>731</v>
      </c>
      <c r="H80" s="40" t="s">
        <v>731</v>
      </c>
      <c r="I80" s="40" t="s">
        <v>731</v>
      </c>
      <c r="J80" s="1"/>
      <c r="K80" s="1" t="s">
        <v>72</v>
      </c>
      <c r="L80" s="1" t="s">
        <v>607</v>
      </c>
      <c r="M80" s="9" t="str">
        <f>ROUND('[1]Citoquinas todos los datos'!M14,3)&amp;" - "&amp;ROUND('[1]Citoquinas todos los datos'!M14,3)</f>
        <v>36,73 - 36,73</v>
      </c>
      <c r="N80" s="39" t="s">
        <v>731</v>
      </c>
      <c r="O80" s="39" t="s">
        <v>731</v>
      </c>
      <c r="P80" s="39" t="s">
        <v>731</v>
      </c>
      <c r="Q80" s="39" t="s">
        <v>731</v>
      </c>
      <c r="R80" s="39" t="s">
        <v>731</v>
      </c>
      <c r="S80" s="9"/>
      <c r="T80" s="1" t="s">
        <v>72</v>
      </c>
      <c r="U80" s="1" t="s">
        <v>608</v>
      </c>
      <c r="V80" s="9" t="str">
        <f>ROUND('[1]Citoquinas todos los datos'!M23,3)&amp;" - "&amp;ROUND('[1]Citoquinas todos los datos'!M23,3)</f>
        <v>51,89 - 51,89</v>
      </c>
      <c r="W80" s="39" t="s">
        <v>731</v>
      </c>
      <c r="X80" s="39" t="s">
        <v>731</v>
      </c>
      <c r="Y80" s="39" t="s">
        <v>731</v>
      </c>
      <c r="Z80" s="39" t="s">
        <v>731</v>
      </c>
      <c r="AA80" s="39" t="s">
        <v>731</v>
      </c>
      <c r="AB80" s="9"/>
      <c r="AC80" s="1" t="s">
        <v>72</v>
      </c>
      <c r="AD80" s="1" t="s">
        <v>609</v>
      </c>
      <c r="AE80" s="9" t="str">
        <f>ROUND('[1]Citoquinas todos los datos'!M17,3)&amp;" - "&amp;ROUND('[1]Citoquinas todos los datos'!M17,3)</f>
        <v>43,46 - 43,46</v>
      </c>
      <c r="AF80" s="39" t="s">
        <v>731</v>
      </c>
      <c r="AG80" s="46" t="s">
        <v>731</v>
      </c>
      <c r="AH80" s="46" t="s">
        <v>731</v>
      </c>
      <c r="AI80" s="46" t="s">
        <v>731</v>
      </c>
      <c r="AJ80" s="46" t="s">
        <v>731</v>
      </c>
    </row>
    <row r="81" spans="1:36" x14ac:dyDescent="0.25">
      <c r="A81" s="3" t="s">
        <v>48</v>
      </c>
      <c r="B81" s="1" t="s">
        <v>72</v>
      </c>
      <c r="C81" s="1" t="s">
        <v>610</v>
      </c>
      <c r="D81" s="9" t="str">
        <f>ROUND('[1]Citoquinas todos los datos'!M28,3)&amp;" - "&amp;ROUND('[1]Citoquinas todos los datos'!M28,3)</f>
        <v>57,07 - 57,07</v>
      </c>
      <c r="E81" s="39" t="s">
        <v>731</v>
      </c>
      <c r="F81" s="40" t="s">
        <v>731</v>
      </c>
      <c r="G81" s="40" t="s">
        <v>731</v>
      </c>
      <c r="H81" s="40" t="s">
        <v>731</v>
      </c>
      <c r="I81" s="40" t="s">
        <v>731</v>
      </c>
      <c r="J81" s="1"/>
      <c r="K81" s="1" t="s">
        <v>63</v>
      </c>
      <c r="L81" s="1" t="s">
        <v>63</v>
      </c>
      <c r="M81" s="9" t="s">
        <v>63</v>
      </c>
      <c r="N81" s="39" t="s">
        <v>731</v>
      </c>
      <c r="O81" s="39" t="s">
        <v>731</v>
      </c>
      <c r="P81" s="39" t="s">
        <v>731</v>
      </c>
      <c r="Q81" s="39" t="s">
        <v>731</v>
      </c>
      <c r="R81" s="39" t="s">
        <v>731</v>
      </c>
      <c r="S81" s="9"/>
      <c r="T81" s="1" t="s">
        <v>17</v>
      </c>
      <c r="U81" s="1" t="s">
        <v>611</v>
      </c>
      <c r="V81" s="9" t="str">
        <f>ROUND((3*MIN('[1]Citoquinas todos los datos'!M27,'[1]Citoquinas todos los datos'!M31)+MAX('[1]Citoquinas todos los datos'!M27,'[1]Citoquinas todos los datos'!M31))/4,3)&amp;" - "&amp;ROUND((MIN('[1]Citoquinas todos los datos'!M27,'[1]Citoquinas todos los datos'!M31)+3*MAX('[1]Citoquinas todos los datos'!M27,'[1]Citoquinas todos los datos'!M31))/4,3)</f>
        <v>50,975 - 54,465</v>
      </c>
      <c r="W81" s="39" t="s">
        <v>731</v>
      </c>
      <c r="X81" s="39" t="s">
        <v>731</v>
      </c>
      <c r="Y81" s="39" t="s">
        <v>731</v>
      </c>
      <c r="Z81" s="39" t="s">
        <v>731</v>
      </c>
      <c r="AA81" s="39" t="s">
        <v>731</v>
      </c>
      <c r="AB81" s="9"/>
      <c r="AC81" s="1" t="s">
        <v>17</v>
      </c>
      <c r="AD81" s="1" t="s">
        <v>612</v>
      </c>
      <c r="AE81" s="9" t="str">
        <f>ROUND((3*MIN('[1]Citoquinas todos los datos'!M33,'[1]Citoquinas todos los datos'!M37)+MAX('[1]Citoquinas todos los datos'!M33,'[1]Citoquinas todos los datos'!M37))/4,3)&amp;" - "&amp;ROUND((MIN('[1]Citoquinas todos los datos'!M33,'[1]Citoquinas todos los datos'!M37)+3*MAX('[1]Citoquinas todos los datos'!M33,'[1]Citoquinas todos los datos'!M37))/4,3)</f>
        <v>43,395 - 46,725</v>
      </c>
      <c r="AF81" s="39">
        <v>0.78852043048385689</v>
      </c>
      <c r="AG81" s="46">
        <v>-0.34277995930608102</v>
      </c>
      <c r="AH81" s="46">
        <v>-21.147956951614312</v>
      </c>
      <c r="AI81" s="46">
        <v>-12.085000000000001</v>
      </c>
      <c r="AJ81" s="46">
        <v>-0.11824274741940217</v>
      </c>
    </row>
    <row r="82" spans="1:36" x14ac:dyDescent="0.25">
      <c r="A82" s="3" t="s">
        <v>54</v>
      </c>
      <c r="B82" s="1" t="s">
        <v>17</v>
      </c>
      <c r="C82" s="1" t="s">
        <v>613</v>
      </c>
      <c r="D82" s="9" t="str">
        <f>ROUND((3*MIN('[1]Citoquinas todos los datos'!M40,'[1]Citoquinas todos los datos'!M44)+MAX('[1]Citoquinas todos los datos'!M40,'[1]Citoquinas todos los datos'!M44))/4,3)&amp;" - "&amp;ROUND((MIN('[1]Citoquinas todos los datos'!M40,'[1]Citoquinas todos los datos'!M44)+3*MAX('[1]Citoquinas todos los datos'!M40,'[1]Citoquinas todos los datos'!M44))/4,3)</f>
        <v>38,135 - 44,465</v>
      </c>
      <c r="E82" s="39">
        <v>0.7801284472988288</v>
      </c>
      <c r="F82" s="40">
        <v>-0.35821641318859093</v>
      </c>
      <c r="G82" s="40">
        <v>-21.987155270117121</v>
      </c>
      <c r="H82" s="40">
        <v>-11.64</v>
      </c>
      <c r="I82" s="40">
        <v>-0.12351443123938881</v>
      </c>
      <c r="J82" s="1"/>
      <c r="K82" s="1" t="s">
        <v>63</v>
      </c>
      <c r="L82" s="1" t="s">
        <v>63</v>
      </c>
      <c r="M82" s="9" t="s">
        <v>63</v>
      </c>
      <c r="N82" s="39" t="s">
        <v>731</v>
      </c>
      <c r="O82" s="39" t="s">
        <v>731</v>
      </c>
      <c r="P82" s="39" t="s">
        <v>731</v>
      </c>
      <c r="Q82" s="39" t="s">
        <v>731</v>
      </c>
      <c r="R82" s="39" t="s">
        <v>731</v>
      </c>
      <c r="S82" s="9"/>
      <c r="T82" s="1" t="s">
        <v>72</v>
      </c>
      <c r="U82" s="1" t="s">
        <v>614</v>
      </c>
      <c r="V82" s="9" t="str">
        <f>ROUND('[1]Citoquinas todos los datos'!M43,3)&amp;" - "&amp;ROUND('[1]Citoquinas todos los datos'!M43,3)</f>
        <v>43,47 - 43,47</v>
      </c>
      <c r="W82" s="39" t="s">
        <v>731</v>
      </c>
      <c r="X82" s="39" t="s">
        <v>731</v>
      </c>
      <c r="Y82" s="39" t="s">
        <v>731</v>
      </c>
      <c r="Z82" s="39" t="s">
        <v>731</v>
      </c>
      <c r="AA82" s="39" t="s">
        <v>731</v>
      </c>
      <c r="AB82" s="9"/>
      <c r="AC82" s="1" t="s">
        <v>72</v>
      </c>
      <c r="AD82" s="1" t="s">
        <v>615</v>
      </c>
      <c r="AE82" s="9" t="str">
        <f>ROUND('[1]Citoquinas todos los datos'!M45,3)&amp;" - "&amp;ROUND('[1]Citoquinas todos los datos'!M45,3)</f>
        <v>45,47 - 45,47</v>
      </c>
      <c r="AF82" s="39" t="s">
        <v>731</v>
      </c>
      <c r="AG82" s="46" t="s">
        <v>731</v>
      </c>
      <c r="AH82" s="46" t="s">
        <v>731</v>
      </c>
      <c r="AI82" s="46" t="s">
        <v>731</v>
      </c>
      <c r="AJ82" s="46" t="s">
        <v>731</v>
      </c>
    </row>
    <row r="83" spans="1:36" x14ac:dyDescent="0.25">
      <c r="A83" s="3" t="s">
        <v>59</v>
      </c>
      <c r="B83" s="1" t="s">
        <v>72</v>
      </c>
      <c r="C83" s="1" t="s">
        <v>616</v>
      </c>
      <c r="D83" s="9" t="str">
        <f>ROUND('[1]Citoquinas todos los datos'!M63,3)&amp;" - "&amp;ROUND('[1]Citoquinas todos los datos'!M63,3)</f>
        <v>33,96 - 33,96</v>
      </c>
      <c r="E83" s="39" t="s">
        <v>731</v>
      </c>
      <c r="F83" s="40" t="s">
        <v>731</v>
      </c>
      <c r="G83" s="40" t="s">
        <v>731</v>
      </c>
      <c r="H83" s="40" t="s">
        <v>731</v>
      </c>
      <c r="I83" s="40" t="s">
        <v>731</v>
      </c>
      <c r="J83" s="1"/>
      <c r="K83" s="1" t="s">
        <v>72</v>
      </c>
      <c r="L83" s="1" t="s">
        <v>617</v>
      </c>
      <c r="M83" s="9" t="str">
        <f>ROUND('[1]Citoquinas todos los datos'!M65,3)&amp;" - "&amp;ROUND('[1]Citoquinas todos los datos'!M65,3)</f>
        <v>55,42 - 55,42</v>
      </c>
      <c r="N83" s="39" t="s">
        <v>731</v>
      </c>
      <c r="O83" s="39" t="s">
        <v>731</v>
      </c>
      <c r="P83" s="39" t="s">
        <v>731</v>
      </c>
      <c r="Q83" s="39" t="s">
        <v>731</v>
      </c>
      <c r="R83" s="39" t="s">
        <v>731</v>
      </c>
      <c r="S83" s="9"/>
      <c r="T83" s="1" t="s">
        <v>72</v>
      </c>
      <c r="U83" s="1" t="s">
        <v>617</v>
      </c>
      <c r="V83" s="9" t="str">
        <f>ROUND('[1]Citoquinas todos los datos'!M65,3)&amp;" - "&amp;ROUND('[1]Citoquinas todos los datos'!M65,3)</f>
        <v>55,42 - 55,42</v>
      </c>
      <c r="W83" s="39" t="s">
        <v>731</v>
      </c>
      <c r="X83" s="39" t="s">
        <v>731</v>
      </c>
      <c r="Y83" s="39" t="s">
        <v>731</v>
      </c>
      <c r="Z83" s="39" t="s">
        <v>731</v>
      </c>
      <c r="AA83" s="39" t="s">
        <v>731</v>
      </c>
      <c r="AB83" s="9"/>
      <c r="AC83" s="1" t="s">
        <v>17</v>
      </c>
      <c r="AD83" s="1" t="s">
        <v>618</v>
      </c>
      <c r="AE83" s="9" t="str">
        <f>ROUND((3*MIN('[1]Citoquinas todos los datos'!M64,'[1]Citoquinas todos los datos'!M67)+MAX('[1]Citoquinas todos los datos'!M64,'[1]Citoquinas todos los datos'!M67))/4,3)&amp;" - "&amp;ROUND((MIN('[1]Citoquinas todos los datos'!M64,'[1]Citoquinas todos los datos'!M67)+3*MAX('[1]Citoquinas todos los datos'!M64,'[1]Citoquinas todos los datos'!M67))/4,3)</f>
        <v>43,285 - 44,155</v>
      </c>
      <c r="AF83" s="39">
        <v>0.76507130982588145</v>
      </c>
      <c r="AG83" s="46">
        <v>-0.38633387186960455</v>
      </c>
      <c r="AH83" s="46">
        <v>-23.492869017411856</v>
      </c>
      <c r="AI83" s="46">
        <v>-13.425000000000004</v>
      </c>
      <c r="AJ83" s="46">
        <v>-0.13309869627720222</v>
      </c>
    </row>
    <row r="84" spans="1:36" x14ac:dyDescent="0.25">
      <c r="A84" s="3" t="s">
        <v>64</v>
      </c>
      <c r="B84" s="1" t="s">
        <v>17</v>
      </c>
      <c r="C84" s="1" t="s">
        <v>619</v>
      </c>
      <c r="D84" s="9" t="str">
        <f>ROUND((3*MIN('[1]Citoquinas todos los datos'!M69,'[1]Citoquinas todos los datos'!M72)+MAX('[1]Citoquinas todos los datos'!M69,'[1]Citoquinas todos los datos'!M72))/4,3)&amp;" - "&amp;ROUND((MIN('[1]Citoquinas todos los datos'!M69,'[1]Citoquinas todos los datos'!M72)+3*MAX('[1]Citoquinas todos los datos'!M69,'[1]Citoquinas todos los datos'!M72))/4,3)</f>
        <v>45,35 - 45,67</v>
      </c>
      <c r="E84" s="39">
        <v>0.85965243672081604</v>
      </c>
      <c r="F84" s="40">
        <v>-0.21817460852720885</v>
      </c>
      <c r="G84" s="40">
        <v>-14.034756327918396</v>
      </c>
      <c r="H84" s="40">
        <v>-7.43</v>
      </c>
      <c r="I84" s="40">
        <v>-7.5469781615033024E-2</v>
      </c>
      <c r="J84" s="1"/>
      <c r="K84" s="1" t="s">
        <v>63</v>
      </c>
      <c r="L84" s="1" t="s">
        <v>63</v>
      </c>
      <c r="M84" s="9" t="s">
        <v>63</v>
      </c>
      <c r="N84" s="39" t="s">
        <v>731</v>
      </c>
      <c r="O84" s="39" t="s">
        <v>731</v>
      </c>
      <c r="P84" s="39" t="s">
        <v>731</v>
      </c>
      <c r="Q84" s="39" t="s">
        <v>731</v>
      </c>
      <c r="R84" s="39" t="s">
        <v>731</v>
      </c>
      <c r="S84" s="9"/>
      <c r="T84" s="1" t="s">
        <v>63</v>
      </c>
      <c r="U84" s="1" t="s">
        <v>63</v>
      </c>
      <c r="V84" s="9" t="s">
        <v>63</v>
      </c>
      <c r="W84" s="39" t="s">
        <v>731</v>
      </c>
      <c r="X84" s="39" t="s">
        <v>731</v>
      </c>
      <c r="Y84" s="39" t="s">
        <v>731</v>
      </c>
      <c r="Z84" s="39" t="s">
        <v>731</v>
      </c>
      <c r="AA84" s="39" t="s">
        <v>731</v>
      </c>
      <c r="AB84" s="9"/>
      <c r="AC84" s="1" t="s">
        <v>17</v>
      </c>
      <c r="AD84" s="1" t="s">
        <v>620</v>
      </c>
      <c r="AE84" s="9" t="str">
        <f>ROUND((3*MIN('[1]Citoquinas todos los datos'!M70,'[1]Citoquinas todos los datos'!M73)+MAX('[1]Citoquinas todos los datos'!M70,'[1]Citoquinas todos los datos'!M73))/4,3)&amp;" - "&amp;ROUND((MIN('[1]Citoquinas todos los datos'!M70,'[1]Citoquinas todos los datos'!M73)+3*MAX('[1]Citoquinas todos los datos'!M70,'[1]Citoquinas todos los datos'!M73))/4,3)</f>
        <v>43,993 - 44,458</v>
      </c>
      <c r="AF84" s="39">
        <v>0.77390847843205868</v>
      </c>
      <c r="AG84" s="46">
        <v>-0.36976512996368849</v>
      </c>
      <c r="AH84" s="46">
        <v>-22.609152156794131</v>
      </c>
      <c r="AI84" s="46">
        <v>-12.920000000000009</v>
      </c>
      <c r="AJ84" s="46">
        <v>-0.12745388181907871</v>
      </c>
    </row>
    <row r="85" spans="1:36" x14ac:dyDescent="0.25">
      <c r="A85" s="35" t="s">
        <v>621</v>
      </c>
      <c r="B85" s="1"/>
      <c r="C85" s="1"/>
      <c r="D85" s="9"/>
      <c r="E85" s="9"/>
      <c r="F85" s="1"/>
      <c r="J85" s="1"/>
      <c r="K85" s="1"/>
      <c r="L85" s="1"/>
      <c r="M85" s="9"/>
      <c r="N85" s="9"/>
      <c r="O85" s="9"/>
      <c r="S85" s="9"/>
      <c r="T85" s="1"/>
      <c r="U85" s="1"/>
      <c r="V85" s="9"/>
      <c r="W85" s="9"/>
      <c r="X85" s="9"/>
      <c r="AB85" s="9"/>
      <c r="AC85" s="1"/>
      <c r="AD85" s="1"/>
      <c r="AE85" s="9"/>
      <c r="AF85" s="9"/>
    </row>
    <row r="86" spans="1:36" x14ac:dyDescent="0.25">
      <c r="A86" s="3" t="s">
        <v>14</v>
      </c>
      <c r="B86" s="1" t="s">
        <v>15</v>
      </c>
      <c r="C86" s="1" t="s">
        <v>622</v>
      </c>
      <c r="D86" s="9" t="str">
        <f>ROUND((MIN('[1]Citoquinas todos los datos'!N52,'[1]Citoquinas todos los datos'!N56,'[1]Citoquinas todos los datos'!N60)+MEDIAN('[1]Citoquinas todos los datos'!N52,'[1]Citoquinas todos los datos'!N56,'[1]Citoquinas todos los datos'!N60))/2,3)&amp;" - "&amp;ROUND((MEDIAN('[1]Citoquinas todos los datos'!N52,'[1]Citoquinas todos los datos'!N56,'[1]Citoquinas todos los datos'!N60)+MAX('[1]Citoquinas todos los datos'!N52,'[1]Citoquinas todos los datos'!N56,'[1]Citoquinas todos los datos'!N60))/2,3)</f>
        <v>4,535 - 4,7</v>
      </c>
      <c r="E86" s="39">
        <v>1</v>
      </c>
      <c r="F86" s="40">
        <v>0</v>
      </c>
      <c r="G86" s="40">
        <v>0</v>
      </c>
      <c r="H86" s="40">
        <v>0</v>
      </c>
      <c r="I86" s="40">
        <v>0</v>
      </c>
      <c r="J86" s="1"/>
      <c r="K86" s="1" t="s">
        <v>17</v>
      </c>
      <c r="L86" s="1" t="s">
        <v>623</v>
      </c>
      <c r="M86" s="9" t="str">
        <f>ROUND((3*MIN('[1]Citoquinas todos los datos'!N54,'[1]Citoquinas todos los datos'!N58)+MAX('[1]Citoquinas todos los datos'!N54,'[1]Citoquinas todos los datos'!N58))/4,3)&amp;" - "&amp;ROUND((MIN('[1]Citoquinas todos los datos'!N54,'[1]Citoquinas todos los datos'!N58)+3*MAX('[1]Citoquinas todos los datos'!N54,'[1]Citoquinas todos los datos'!N58))/4,3)</f>
        <v>4,62 - 4,78</v>
      </c>
      <c r="N86" s="39">
        <v>1</v>
      </c>
      <c r="O86" s="39">
        <v>0</v>
      </c>
      <c r="P86" s="39">
        <v>0</v>
      </c>
      <c r="Q86" s="39">
        <v>0</v>
      </c>
      <c r="R86" s="39">
        <v>0</v>
      </c>
      <c r="S86" s="9"/>
      <c r="T86" s="1" t="s">
        <v>17</v>
      </c>
      <c r="U86" s="1" t="s">
        <v>624</v>
      </c>
      <c r="V86" s="9" t="str">
        <f>ROUND((3*MIN('[1]Citoquinas todos los datos'!N55,'[1]Citoquinas todos los datos'!N59)+MAX('[1]Citoquinas todos los datos'!N55,'[1]Citoquinas todos los datos'!N59))/4,3)&amp;" - "&amp;ROUND((MIN('[1]Citoquinas todos los datos'!N55,'[1]Citoquinas todos los datos'!N59)+3*MAX('[1]Citoquinas todos los datos'!N55,'[1]Citoquinas todos los datos'!N59))/4,3)</f>
        <v>3,773 - 3,838</v>
      </c>
      <c r="W86" s="39">
        <v>1</v>
      </c>
      <c r="X86" s="39">
        <v>0</v>
      </c>
      <c r="Y86" s="39">
        <v>0</v>
      </c>
      <c r="Z86" s="39">
        <v>0</v>
      </c>
      <c r="AA86" s="39">
        <v>0</v>
      </c>
      <c r="AB86" s="9"/>
      <c r="AC86" s="1" t="s">
        <v>72</v>
      </c>
      <c r="AD86" s="1" t="s">
        <v>625</v>
      </c>
      <c r="AE86" s="9" t="str">
        <f>ROUND('[1]Citoquinas todos los datos'!N57,3)&amp;" - "&amp;ROUND('[1]Citoquinas todos los datos'!N57,3)</f>
        <v>4,3 - 4,3</v>
      </c>
      <c r="AF86" s="39">
        <v>1</v>
      </c>
      <c r="AG86" s="46">
        <v>0</v>
      </c>
      <c r="AH86" s="46">
        <v>0</v>
      </c>
      <c r="AI86" s="46">
        <v>0</v>
      </c>
      <c r="AJ86" s="46">
        <v>0</v>
      </c>
    </row>
    <row r="87" spans="1:36" x14ac:dyDescent="0.25">
      <c r="A87" s="3" t="s">
        <v>25</v>
      </c>
      <c r="B87" s="1" t="s">
        <v>15</v>
      </c>
      <c r="C87" s="1" t="s">
        <v>626</v>
      </c>
      <c r="D87" s="9" t="str">
        <f>ROUND((MIN('[1]Citoquinas todos los datos'!N76,'[1]Citoquinas todos los datos'!N80,'[1]Citoquinas todos los datos'!N84)+MEDIAN('[1]Citoquinas todos los datos'!N76,'[1]Citoquinas todos los datos'!N80,'[1]Citoquinas todos los datos'!N84))/2,3)&amp;" - "&amp;ROUND((MEDIAN('[1]Citoquinas todos los datos'!N76,'[1]Citoquinas todos los datos'!N80,'[1]Citoquinas todos los datos'!N84)+MAX('[1]Citoquinas todos los datos'!N76,'[1]Citoquinas todos los datos'!N80,'[1]Citoquinas todos los datos'!N84))/2,3)</f>
        <v>4,1 - 4,45</v>
      </c>
      <c r="E87" s="39">
        <v>0.91498559077809816</v>
      </c>
      <c r="F87" s="40">
        <v>-0.12817907091873243</v>
      </c>
      <c r="G87" s="40">
        <v>-8.5014409221901843</v>
      </c>
      <c r="H87" s="40">
        <v>-0.39333333333333265</v>
      </c>
      <c r="I87" s="40">
        <v>-4.4394281414597364E-2</v>
      </c>
      <c r="J87" s="1"/>
      <c r="K87" s="1" t="s">
        <v>17</v>
      </c>
      <c r="L87" s="1" t="s">
        <v>627</v>
      </c>
      <c r="M87" s="9" t="str">
        <f>ROUND((3*MIN('[1]Citoquinas todos los datos'!N78,'[1]Citoquinas todos los datos'!N82)+MAX('[1]Citoquinas todos los datos'!N78,'[1]Citoquinas todos los datos'!N82))/4,3)&amp;" - "&amp;ROUND((MIN('[1]Citoquinas todos los datos'!N78,'[1]Citoquinas todos los datos'!N82)+3*MAX('[1]Citoquinas todos los datos'!N78,'[1]Citoquinas todos los datos'!N82))/4,3)</f>
        <v>4,32 - 4,58</v>
      </c>
      <c r="N87" s="39">
        <v>0.94680851063829785</v>
      </c>
      <c r="O87" s="39">
        <v>-7.8855420711239646E-2</v>
      </c>
      <c r="P87" s="39">
        <v>-5.3191489361702153</v>
      </c>
      <c r="Q87" s="39">
        <v>-0.25</v>
      </c>
      <c r="R87" s="39">
        <v>-2.7322404371584699E-2</v>
      </c>
      <c r="S87" s="9"/>
      <c r="T87" s="1" t="s">
        <v>72</v>
      </c>
      <c r="U87" s="1" t="s">
        <v>628</v>
      </c>
      <c r="V87" s="9" t="str">
        <f>ROUND('[1]Citoquinas todos los datos'!N75,3)&amp;" - "&amp;ROUND('[1]Citoquinas todos los datos'!N75,3)</f>
        <v>4,58 - 4,58</v>
      </c>
      <c r="W87" s="39" t="s">
        <v>731</v>
      </c>
      <c r="X87" s="39" t="s">
        <v>731</v>
      </c>
      <c r="Y87" s="39" t="s">
        <v>731</v>
      </c>
      <c r="Z87" s="39" t="s">
        <v>731</v>
      </c>
      <c r="AA87" s="39" t="s">
        <v>731</v>
      </c>
      <c r="AB87" s="9"/>
      <c r="AC87" s="1" t="s">
        <v>72</v>
      </c>
      <c r="AD87" s="1" t="s">
        <v>629</v>
      </c>
      <c r="AE87" s="9" t="str">
        <f>ROUND('[1]Citoquinas todos los datos'!N85,3)&amp;" - "&amp;ROUND('[1]Citoquinas todos los datos'!N85,3)</f>
        <v>3,87 - 3,87</v>
      </c>
      <c r="AF87" s="39" t="s">
        <v>731</v>
      </c>
      <c r="AG87" s="46" t="s">
        <v>731</v>
      </c>
      <c r="AH87" s="46" t="s">
        <v>731</v>
      </c>
      <c r="AI87" s="46" t="s">
        <v>731</v>
      </c>
      <c r="AJ87" s="46" t="s">
        <v>731</v>
      </c>
    </row>
    <row r="88" spans="1:36" x14ac:dyDescent="0.25">
      <c r="A88" s="3" t="s">
        <v>35</v>
      </c>
      <c r="B88" s="1" t="s">
        <v>17</v>
      </c>
      <c r="C88" s="1" t="s">
        <v>630</v>
      </c>
      <c r="D88" s="9" t="str">
        <f>ROUND((3*MIN('[1]Citoquinas todos los datos'!N4,'[1]Citoquinas todos los datos'!N12)+MAX('[1]Citoquinas todos los datos'!N4,'[1]Citoquinas todos los datos'!N12))/4,3)&amp;" - "&amp;ROUND((MIN('[1]Citoquinas todos los datos'!N4,'[1]Citoquinas todos los datos'!N12)+3*MAX('[1]Citoquinas todos los datos'!N4,'[1]Citoquinas todos los datos'!N12))/4,3)</f>
        <v>4,578 - 5,153</v>
      </c>
      <c r="E88" s="39">
        <v>1.051512968299712</v>
      </c>
      <c r="F88" s="40">
        <v>7.2466642924007021E-2</v>
      </c>
      <c r="G88" s="40">
        <v>5.151296829971197</v>
      </c>
      <c r="H88" s="40">
        <v>0.23833333333333417</v>
      </c>
      <c r="I88" s="40">
        <v>2.5109745390693678E-2</v>
      </c>
      <c r="J88" s="1"/>
      <c r="K88" s="1" t="s">
        <v>17</v>
      </c>
      <c r="L88" s="1" t="s">
        <v>631</v>
      </c>
      <c r="M88" s="9" t="str">
        <f>ROUND((3*MIN('[1]Citoquinas todos los datos'!N6,'[1]Citoquinas todos los datos'!N10)+MAX('[1]Citoquinas todos los datos'!N6,'[1]Citoquinas todos los datos'!N10))/4,3)&amp;" - "&amp;ROUND((MIN('[1]Citoquinas todos los datos'!N6,'[1]Citoquinas todos los datos'!N10)+3*MAX('[1]Citoquinas todos los datos'!N6,'[1]Citoquinas todos los datos'!N10))/4,3)</f>
        <v>4,2 - 4,26</v>
      </c>
      <c r="N88" s="39">
        <v>0.9</v>
      </c>
      <c r="O88" s="39">
        <v>-0.15200309344504995</v>
      </c>
      <c r="P88" s="39">
        <v>-9.9999999999999982</v>
      </c>
      <c r="Q88" s="39">
        <v>-0.46999999999999975</v>
      </c>
      <c r="R88" s="39">
        <v>-5.2631578947368397E-2</v>
      </c>
      <c r="S88" s="9"/>
      <c r="T88" s="1" t="s">
        <v>17</v>
      </c>
      <c r="U88" s="1" t="s">
        <v>632</v>
      </c>
      <c r="V88" s="9" t="str">
        <f>ROUND((3*MIN('[1]Citoquinas todos los datos'!N3,'[1]Citoquinas todos los datos'!N11)+MAX('[1]Citoquinas todos los datos'!N3,'[1]Citoquinas todos los datos'!N11))/4,3)&amp;" - "&amp;ROUND((MIN('[1]Citoquinas todos los datos'!N3,'[1]Citoquinas todos los datos'!N11)+3*MAX('[1]Citoquinas todos los datos'!N3,'[1]Citoquinas todos los datos'!N11))/4,3)</f>
        <v>4,523 - 5,348</v>
      </c>
      <c r="W88" s="39">
        <v>1.2969776609724049</v>
      </c>
      <c r="X88" s="39">
        <v>0.37515363095285237</v>
      </c>
      <c r="Y88" s="39">
        <v>29.697766097240486</v>
      </c>
      <c r="Z88" s="39">
        <v>1.1300000000000003</v>
      </c>
      <c r="AA88" s="39">
        <v>0.12929061784897028</v>
      </c>
      <c r="AB88" s="9"/>
      <c r="AC88" s="1" t="s">
        <v>63</v>
      </c>
      <c r="AD88" s="1" t="s">
        <v>63</v>
      </c>
      <c r="AE88" s="9" t="s">
        <v>63</v>
      </c>
      <c r="AF88" s="39" t="s">
        <v>731</v>
      </c>
      <c r="AG88" s="46" t="s">
        <v>731</v>
      </c>
      <c r="AH88" s="46" t="s">
        <v>731</v>
      </c>
      <c r="AI88" s="46" t="s">
        <v>731</v>
      </c>
      <c r="AJ88" s="46" t="s">
        <v>731</v>
      </c>
    </row>
    <row r="89" spans="1:36" x14ac:dyDescent="0.25">
      <c r="A89" s="3" t="s">
        <v>42</v>
      </c>
      <c r="B89" s="1" t="s">
        <v>15</v>
      </c>
      <c r="C89" s="1" t="s">
        <v>633</v>
      </c>
      <c r="D89" s="9" t="str">
        <f>ROUND((MIN('[1]Citoquinas todos los datos'!N16,'[1]Citoquinas todos los datos'!N20,'[1]Citoquinas todos los datos'!N24)+MEDIAN('[1]Citoquinas todos los datos'!N16,'[1]Citoquinas todos los datos'!N20,'[1]Citoquinas todos los datos'!N24))/2,3)&amp;" - "&amp;ROUND((MEDIAN('[1]Citoquinas todos los datos'!N16,'[1]Citoquinas todos los datos'!N20,'[1]Citoquinas todos los datos'!N24)+MAX('[1]Citoquinas todos los datos'!N16,'[1]Citoquinas todos los datos'!N20,'[1]Citoquinas todos los datos'!N24))/2,3)</f>
        <v>4,305 - 4,55</v>
      </c>
      <c r="E89" s="39">
        <v>0.95028818443804042</v>
      </c>
      <c r="F89" s="40">
        <v>-7.3563003326716087E-2</v>
      </c>
      <c r="G89" s="40">
        <v>-4.9711815561959583</v>
      </c>
      <c r="H89" s="40">
        <v>-0.22999999999999954</v>
      </c>
      <c r="I89" s="40">
        <v>-2.5489471739933454E-2</v>
      </c>
      <c r="J89" s="1"/>
      <c r="K89" s="1" t="s">
        <v>72</v>
      </c>
      <c r="L89" s="1" t="s">
        <v>634</v>
      </c>
      <c r="M89" s="9" t="str">
        <f>ROUND('[1]Citoquinas todos los datos'!N14,3)&amp;" - "&amp;ROUND('[1]Citoquinas todos los datos'!N14,3)</f>
        <v>4,62 - 4,62</v>
      </c>
      <c r="N89" s="39" t="s">
        <v>731</v>
      </c>
      <c r="O89" s="39" t="s">
        <v>731</v>
      </c>
      <c r="P89" s="39" t="s">
        <v>731</v>
      </c>
      <c r="Q89" s="39" t="s">
        <v>731</v>
      </c>
      <c r="R89" s="39" t="s">
        <v>731</v>
      </c>
      <c r="S89" s="9"/>
      <c r="T89" s="1" t="s">
        <v>17</v>
      </c>
      <c r="U89" s="1" t="s">
        <v>635</v>
      </c>
      <c r="V89" s="9" t="str">
        <f>ROUND((3*MIN('[1]Citoquinas todos los datos'!N15,'[1]Citoquinas todos los datos'!N19)+MAX('[1]Citoquinas todos los datos'!N15,'[1]Citoquinas todos los datos'!N19))/4,3)&amp;" - "&amp;ROUND((MIN('[1]Citoquinas todos los datos'!N15,'[1]Citoquinas todos los datos'!N19)+3*MAX('[1]Citoquinas todos los datos'!N15,'[1]Citoquinas todos los datos'!N19))/4,3)</f>
        <v>4,275 - 4,405</v>
      </c>
      <c r="W89" s="39">
        <v>1.1406044678055189</v>
      </c>
      <c r="X89" s="39">
        <v>0.18979858894093374</v>
      </c>
      <c r="Y89" s="39">
        <v>14.060446780551894</v>
      </c>
      <c r="Z89" s="39">
        <v>0.5349999999999997</v>
      </c>
      <c r="AA89" s="39">
        <v>6.5684468999386098E-2</v>
      </c>
      <c r="AB89" s="9"/>
      <c r="AC89" s="1" t="s">
        <v>72</v>
      </c>
      <c r="AD89" s="1" t="s">
        <v>636</v>
      </c>
      <c r="AE89" s="9" t="str">
        <f>ROUND('[1]Citoquinas todos los datos'!N21,3)&amp;" - "&amp;ROUND('[1]Citoquinas todos los datos'!N21,3)</f>
        <v>4,16 - 4,16</v>
      </c>
      <c r="AF89" s="39" t="s">
        <v>731</v>
      </c>
      <c r="AG89" s="46" t="s">
        <v>731</v>
      </c>
      <c r="AH89" s="46" t="s">
        <v>731</v>
      </c>
      <c r="AI89" s="46" t="s">
        <v>731</v>
      </c>
      <c r="AJ89" s="46" t="s">
        <v>731</v>
      </c>
    </row>
    <row r="90" spans="1:36" x14ac:dyDescent="0.25">
      <c r="A90" s="3" t="s">
        <v>48</v>
      </c>
      <c r="B90" s="1" t="s">
        <v>72</v>
      </c>
      <c r="C90" s="1" t="s">
        <v>628</v>
      </c>
      <c r="D90" s="9" t="str">
        <f>ROUND('[1]Citoquinas todos los datos'!N32,3)&amp;" - "&amp;ROUND('[1]Citoquinas todos los datos'!N32,3)</f>
        <v>4,58 - 4,58</v>
      </c>
      <c r="E90" s="39" t="s">
        <v>731</v>
      </c>
      <c r="F90" s="40" t="s">
        <v>731</v>
      </c>
      <c r="G90" s="40" t="s">
        <v>731</v>
      </c>
      <c r="H90" s="40" t="s">
        <v>731</v>
      </c>
      <c r="I90" s="40" t="s">
        <v>731</v>
      </c>
      <c r="J90" s="1"/>
      <c r="K90" s="1" t="s">
        <v>17</v>
      </c>
      <c r="L90" s="1" t="s">
        <v>637</v>
      </c>
      <c r="M90" s="9" t="str">
        <f>ROUND((3*MIN('[1]Citoquinas todos los datos'!N26,'[1]Citoquinas todos los datos'!N34)+MAX('[1]Citoquinas todos los datos'!N26,'[1]Citoquinas todos los datos'!N34))/4,3)&amp;" - "&amp;ROUND((MIN('[1]Citoquinas todos los datos'!N26,'[1]Citoquinas todos los datos'!N34)+3*MAX('[1]Citoquinas todos los datos'!N26,'[1]Citoquinas todos los datos'!N34))/4,3)</f>
        <v>4,223 - 4,448</v>
      </c>
      <c r="N90" s="39">
        <v>0.92234042553191486</v>
      </c>
      <c r="O90" s="39">
        <v>-0.11662876334316477</v>
      </c>
      <c r="P90" s="39">
        <v>-7.765957446808514</v>
      </c>
      <c r="Q90" s="39">
        <v>-0.36500000000000021</v>
      </c>
      <c r="R90" s="39">
        <v>-4.0398450470392942E-2</v>
      </c>
      <c r="S90" s="9"/>
      <c r="T90" s="1" t="s">
        <v>15</v>
      </c>
      <c r="U90" s="1" t="s">
        <v>638</v>
      </c>
      <c r="V90" s="9" t="str">
        <f>ROUND((MIN('[1]Citoquinas todos los datos'!N27,'[1]Citoquinas todos los datos'!N31,'[1]Citoquinas todos los datos'!N35)+MEDIAN('[1]Citoquinas todos los datos'!N27,'[1]Citoquinas todos los datos'!N31,'[1]Citoquinas todos los datos'!N35))/2,3)&amp;" - "&amp;ROUND((MEDIAN('[1]Citoquinas todos los datos'!N27,'[1]Citoquinas todos los datos'!N31,'[1]Citoquinas todos los datos'!N35)+MAX('[1]Citoquinas todos los datos'!N27,'[1]Citoquinas todos los datos'!N31,'[1]Citoquinas todos los datos'!N35))/2,3)</f>
        <v>4,895 - 5,62</v>
      </c>
      <c r="W90" s="39">
        <v>1.3806395094174331</v>
      </c>
      <c r="X90" s="39">
        <v>0.46533667523167449</v>
      </c>
      <c r="Y90" s="39">
        <v>38.063950941743308</v>
      </c>
      <c r="Z90" s="39">
        <v>1.4483333333333328</v>
      </c>
      <c r="AA90" s="39">
        <v>0.15988960441582331</v>
      </c>
      <c r="AB90" s="9"/>
      <c r="AC90" s="1" t="s">
        <v>63</v>
      </c>
      <c r="AD90" s="1" t="s">
        <v>63</v>
      </c>
      <c r="AE90" s="9" t="s">
        <v>63</v>
      </c>
      <c r="AF90" s="39" t="s">
        <v>731</v>
      </c>
      <c r="AG90" s="46" t="s">
        <v>731</v>
      </c>
      <c r="AH90" s="46" t="s">
        <v>731</v>
      </c>
      <c r="AI90" s="46" t="s">
        <v>731</v>
      </c>
      <c r="AJ90" s="46" t="s">
        <v>731</v>
      </c>
    </row>
    <row r="91" spans="1:36" x14ac:dyDescent="0.25">
      <c r="A91" s="3" t="s">
        <v>54</v>
      </c>
      <c r="B91" s="1" t="s">
        <v>17</v>
      </c>
      <c r="C91" s="1" t="s">
        <v>639</v>
      </c>
      <c r="D91" s="9" t="str">
        <f>ROUND((3*MIN('[1]Citoquinas todos los datos'!N44,'[1]Citoquinas todos los datos'!N48)+MAX('[1]Citoquinas todos los datos'!N44,'[1]Citoquinas todos los datos'!N48))/4,3)&amp;" - "&amp;ROUND((MIN('[1]Citoquinas todos los datos'!N44,'[1]Citoquinas todos los datos'!N48)+3*MAX('[1]Citoquinas todos los datos'!N44,'[1]Citoquinas todos los datos'!N48))/4,3)</f>
        <v>3,968 - 4,063</v>
      </c>
      <c r="E91" s="39">
        <v>0.86779538904899156</v>
      </c>
      <c r="F91" s="40">
        <v>-0.20457317433978989</v>
      </c>
      <c r="G91" s="40">
        <v>-13.220461095100845</v>
      </c>
      <c r="H91" s="40">
        <v>-0.61166666666666547</v>
      </c>
      <c r="I91" s="40">
        <v>-7.0781099324975755E-2</v>
      </c>
      <c r="J91" s="1"/>
      <c r="K91" s="1" t="s">
        <v>15</v>
      </c>
      <c r="L91" s="1" t="s">
        <v>640</v>
      </c>
      <c r="M91" s="9" t="str">
        <f>ROUND((MIN('[1]Citoquinas todos los datos'!N38,'[1]Citoquinas todos los datos'!N42,'[1]Citoquinas todos los datos'!N46)+MEDIAN('[1]Citoquinas todos los datos'!N38,'[1]Citoquinas todos los datos'!N42,'[1]Citoquinas todos los datos'!N46))/2,3)&amp;" - "&amp;ROUND((MEDIAN('[1]Citoquinas todos los datos'!N38,'[1]Citoquinas todos los datos'!N42,'[1]Citoquinas todos los datos'!N46)+MAX('[1]Citoquinas todos los datos'!N38,'[1]Citoquinas todos los datos'!N42,'[1]Citoquinas todos los datos'!N46))/2,3)</f>
        <v>4,305 - 4,585</v>
      </c>
      <c r="N91" s="39">
        <v>0.95531914893616998</v>
      </c>
      <c r="O91" s="39">
        <v>-6.5945311823853131E-2</v>
      </c>
      <c r="P91" s="39">
        <v>-4.4680851063830023</v>
      </c>
      <c r="Q91" s="39">
        <v>-0.21000000000000085</v>
      </c>
      <c r="R91" s="39">
        <v>-2.2850924918389647E-2</v>
      </c>
      <c r="S91" s="9"/>
      <c r="T91" s="1" t="s">
        <v>63</v>
      </c>
      <c r="U91" s="1" t="s">
        <v>63</v>
      </c>
      <c r="V91" s="9" t="s">
        <v>63</v>
      </c>
      <c r="W91" s="39" t="s">
        <v>731</v>
      </c>
      <c r="X91" s="39" t="s">
        <v>731</v>
      </c>
      <c r="Y91" s="39" t="s">
        <v>731</v>
      </c>
      <c r="Z91" s="39" t="s">
        <v>731</v>
      </c>
      <c r="AA91" s="39" t="s">
        <v>731</v>
      </c>
      <c r="AB91" s="9"/>
      <c r="AC91" s="1" t="s">
        <v>72</v>
      </c>
      <c r="AD91" s="1" t="s">
        <v>641</v>
      </c>
      <c r="AE91" s="9" t="str">
        <f>ROUND('[1]Citoquinas todos los datos'!N45,3)&amp;" - "&amp;ROUND('[1]Citoquinas todos los datos'!N45,3)</f>
        <v>3,94 - 3,94</v>
      </c>
      <c r="AF91" s="39" t="s">
        <v>731</v>
      </c>
      <c r="AG91" s="46" t="s">
        <v>731</v>
      </c>
      <c r="AH91" s="46" t="s">
        <v>731</v>
      </c>
      <c r="AI91" s="46" t="s">
        <v>731</v>
      </c>
      <c r="AJ91" s="46" t="s">
        <v>731</v>
      </c>
    </row>
    <row r="92" spans="1:36" x14ac:dyDescent="0.25">
      <c r="A92" s="3" t="s">
        <v>59</v>
      </c>
      <c r="B92" s="1" t="s">
        <v>72</v>
      </c>
      <c r="C92" s="1" t="s">
        <v>642</v>
      </c>
      <c r="D92" s="9" t="str">
        <f>ROUND('[1]Citoquinas todos los datos'!N66,3)&amp;" - "&amp;ROUND('[1]Citoquinas todos los datos'!N66,3)</f>
        <v>5,95 - 5,95</v>
      </c>
      <c r="E92" s="39" t="s">
        <v>731</v>
      </c>
      <c r="F92" s="40" t="s">
        <v>731</v>
      </c>
      <c r="G92" s="40" t="s">
        <v>731</v>
      </c>
      <c r="H92" s="40" t="s">
        <v>731</v>
      </c>
      <c r="I92" s="40" t="s">
        <v>731</v>
      </c>
      <c r="J92" s="1"/>
      <c r="K92" s="1" t="s">
        <v>63</v>
      </c>
      <c r="L92" s="1" t="s">
        <v>63</v>
      </c>
      <c r="M92" s="9" t="s">
        <v>63</v>
      </c>
      <c r="N92" s="39" t="s">
        <v>731</v>
      </c>
      <c r="O92" s="39" t="s">
        <v>731</v>
      </c>
      <c r="P92" s="39" t="s">
        <v>731</v>
      </c>
      <c r="Q92" s="39" t="s">
        <v>731</v>
      </c>
      <c r="R92" s="39" t="s">
        <v>731</v>
      </c>
      <c r="S92" s="9"/>
      <c r="T92" s="1" t="s">
        <v>63</v>
      </c>
      <c r="U92" s="1" t="s">
        <v>63</v>
      </c>
      <c r="V92" s="9" t="s">
        <v>63</v>
      </c>
      <c r="W92" s="39" t="s">
        <v>731</v>
      </c>
      <c r="X92" s="39" t="s">
        <v>731</v>
      </c>
      <c r="Y92" s="39" t="s">
        <v>731</v>
      </c>
      <c r="Z92" s="39" t="s">
        <v>731</v>
      </c>
      <c r="AA92" s="39" t="s">
        <v>731</v>
      </c>
      <c r="AB92" s="9"/>
      <c r="AC92" s="1" t="s">
        <v>17</v>
      </c>
      <c r="AD92" s="1" t="s">
        <v>643</v>
      </c>
      <c r="AE92" s="9" t="str">
        <f>ROUND((3*MIN('[1]Citoquinas todos los datos'!N64,'[1]Citoquinas todos los datos'!N67)+MAX('[1]Citoquinas todos los datos'!N64,'[1]Citoquinas todos los datos'!N67))/4,3)&amp;" - "&amp;ROUND((MIN('[1]Citoquinas todos los datos'!N64,'[1]Citoquinas todos los datos'!N67)+3*MAX('[1]Citoquinas todos los datos'!N64,'[1]Citoquinas todos los datos'!N67))/4,3)</f>
        <v>4,41 - 4,49</v>
      </c>
      <c r="AF92" s="39" t="s">
        <v>731</v>
      </c>
      <c r="AG92" s="46" t="s">
        <v>731</v>
      </c>
      <c r="AH92" s="46" t="s">
        <v>731</v>
      </c>
      <c r="AI92" s="46" t="s">
        <v>731</v>
      </c>
      <c r="AJ92" s="46" t="s">
        <v>731</v>
      </c>
    </row>
    <row r="93" spans="1:36" x14ac:dyDescent="0.25">
      <c r="A93" s="3" t="s">
        <v>64</v>
      </c>
      <c r="B93" s="1" t="s">
        <v>63</v>
      </c>
      <c r="C93" s="1" t="s">
        <v>63</v>
      </c>
      <c r="D93" s="9" t="s">
        <v>63</v>
      </c>
      <c r="E93" s="39" t="s">
        <v>731</v>
      </c>
      <c r="F93" s="40" t="s">
        <v>731</v>
      </c>
      <c r="G93" s="40" t="s">
        <v>731</v>
      </c>
      <c r="H93" s="40" t="s">
        <v>731</v>
      </c>
      <c r="I93" s="40" t="s">
        <v>731</v>
      </c>
      <c r="J93" s="1"/>
      <c r="K93" s="1" t="s">
        <v>72</v>
      </c>
      <c r="L93" s="1" t="s">
        <v>644</v>
      </c>
      <c r="M93" s="9" t="str">
        <f>ROUND('[1]Citoquinas todos los datos'!N71,3)&amp;" - "&amp;ROUND('[1]Citoquinas todos los datos'!N71,3)</f>
        <v>5,02 - 5,02</v>
      </c>
      <c r="N93" s="39" t="s">
        <v>731</v>
      </c>
      <c r="O93" s="39" t="s">
        <v>731</v>
      </c>
      <c r="P93" s="39" t="s">
        <v>731</v>
      </c>
      <c r="Q93" s="39" t="s">
        <v>731</v>
      </c>
      <c r="R93" s="39" t="s">
        <v>731</v>
      </c>
      <c r="S93" s="9"/>
      <c r="T93" s="1" t="s">
        <v>72</v>
      </c>
      <c r="U93" s="1" t="s">
        <v>644</v>
      </c>
      <c r="V93" s="9" t="str">
        <f>ROUND('[1]Citoquinas todos los datos'!N71,3)&amp;" - "&amp;ROUND('[1]Citoquinas todos los datos'!N71,3)</f>
        <v>5,02 - 5,02</v>
      </c>
      <c r="W93" s="39" t="s">
        <v>731</v>
      </c>
      <c r="X93" s="39" t="s">
        <v>731</v>
      </c>
      <c r="Y93" s="39" t="s">
        <v>731</v>
      </c>
      <c r="Z93" s="39" t="s">
        <v>731</v>
      </c>
      <c r="AA93" s="39" t="s">
        <v>731</v>
      </c>
      <c r="AB93" s="9"/>
      <c r="AC93" s="1" t="s">
        <v>17</v>
      </c>
      <c r="AD93" s="1" t="s">
        <v>645</v>
      </c>
      <c r="AE93" s="9" t="str">
        <f>ROUND((3*MIN('[1]Citoquinas todos los datos'!N70,'[1]Citoquinas todos los datos'!N73)+MAX('[1]Citoquinas todos los datos'!N70,'[1]Citoquinas todos los datos'!N73))/4,3)&amp;" - "&amp;ROUND((MIN('[1]Citoquinas todos los datos'!N70,'[1]Citoquinas todos los datos'!N73)+3*MAX('[1]Citoquinas todos los datos'!N70,'[1]Citoquinas todos los datos'!N73))/4,3)</f>
        <v>4,81 - 4,83</v>
      </c>
      <c r="AF93" s="39" t="s">
        <v>731</v>
      </c>
      <c r="AG93" s="46" t="s">
        <v>731</v>
      </c>
      <c r="AH93" s="46" t="s">
        <v>731</v>
      </c>
      <c r="AI93" s="46" t="s">
        <v>731</v>
      </c>
      <c r="AJ93" s="46" t="s">
        <v>731</v>
      </c>
    </row>
    <row r="94" spans="1:36" x14ac:dyDescent="0.25">
      <c r="A94" s="36" t="s">
        <v>646</v>
      </c>
      <c r="B94" s="29"/>
      <c r="C94" s="29"/>
      <c r="D94" s="29"/>
      <c r="E94" s="29"/>
      <c r="F94" s="29"/>
      <c r="J94" s="29"/>
      <c r="K94" s="29"/>
      <c r="L94" s="29"/>
      <c r="M94" s="29"/>
      <c r="N94" s="29"/>
      <c r="O94" s="29"/>
      <c r="S94" s="29"/>
      <c r="T94" s="29"/>
      <c r="U94" s="29"/>
      <c r="V94" s="29"/>
      <c r="W94" s="29"/>
      <c r="X94" s="29"/>
      <c r="AB94" s="29"/>
      <c r="AC94" s="29"/>
      <c r="AD94" s="29"/>
      <c r="AE94" s="29"/>
      <c r="AF94" s="29"/>
    </row>
    <row r="95" spans="1:36" x14ac:dyDescent="0.25">
      <c r="A95" s="3" t="s">
        <v>14</v>
      </c>
      <c r="B95" s="1" t="s">
        <v>15</v>
      </c>
      <c r="C95" s="1" t="s">
        <v>647</v>
      </c>
      <c r="D95" s="9" t="str">
        <f>ROUND((MIN('[1]Citoquinas todos los datos'!O52,'[1]Citoquinas todos los datos'!O56,'[1]Citoquinas todos los datos'!O60)+MEDIAN('[1]Citoquinas todos los datos'!O52,'[1]Citoquinas todos los datos'!O56,'[1]Citoquinas todos los datos'!O60))/2,3)&amp;" - "&amp;ROUND((MEDIAN('[1]Citoquinas todos los datos'!O52,'[1]Citoquinas todos los datos'!O56,'[1]Citoquinas todos los datos'!O60)+MAX('[1]Citoquinas todos los datos'!O52,'[1]Citoquinas todos los datos'!O56,'[1]Citoquinas todos los datos'!O60))/2,3)</f>
        <v>47,4 - 117,395</v>
      </c>
      <c r="E95" s="39">
        <v>1</v>
      </c>
      <c r="F95" s="40">
        <v>0</v>
      </c>
      <c r="G95" s="40">
        <v>0</v>
      </c>
      <c r="H95" s="40">
        <v>0</v>
      </c>
      <c r="I95" s="40">
        <v>0</v>
      </c>
      <c r="J95" s="1"/>
      <c r="K95" s="1" t="s">
        <v>63</v>
      </c>
      <c r="L95" s="1" t="s">
        <v>63</v>
      </c>
      <c r="M95" s="9" t="s">
        <v>63</v>
      </c>
      <c r="N95" s="39" t="s">
        <v>731</v>
      </c>
      <c r="O95" s="39" t="s">
        <v>731</v>
      </c>
      <c r="P95" s="39" t="s">
        <v>731</v>
      </c>
      <c r="Q95" s="39" t="s">
        <v>731</v>
      </c>
      <c r="R95" s="39" t="s">
        <v>731</v>
      </c>
      <c r="S95" s="9"/>
      <c r="T95" s="1" t="s">
        <v>72</v>
      </c>
      <c r="U95" s="1" t="s">
        <v>648</v>
      </c>
      <c r="V95" s="9" t="str">
        <f>ROUND('[1]Citoquinas todos los datos'!O51,3)&amp;" - "&amp;ROUND('[1]Citoquinas todos los datos'!O51,3)</f>
        <v>15,12 - 15,12</v>
      </c>
      <c r="W95" s="39">
        <v>1</v>
      </c>
      <c r="X95" s="39">
        <v>0</v>
      </c>
      <c r="Y95" s="39">
        <v>0</v>
      </c>
      <c r="Z95" s="39">
        <v>0</v>
      </c>
      <c r="AA95" s="39">
        <v>0</v>
      </c>
      <c r="AB95" s="9"/>
      <c r="AC95" s="1" t="s">
        <v>72</v>
      </c>
      <c r="AD95" s="1" t="s">
        <v>649</v>
      </c>
      <c r="AE95" s="9" t="str">
        <f>ROUND('[1]Citoquinas todos los datos'!O61,3)&amp;" - "&amp;ROUND('[1]Citoquinas todos los datos'!O61,3)</f>
        <v>71,67 - 71,67</v>
      </c>
      <c r="AF95" s="39">
        <v>1</v>
      </c>
      <c r="AG95" s="46">
        <v>0</v>
      </c>
      <c r="AH95" s="46">
        <v>0</v>
      </c>
      <c r="AI95" s="46">
        <v>0</v>
      </c>
      <c r="AJ95" s="46">
        <v>0</v>
      </c>
    </row>
    <row r="96" spans="1:36" x14ac:dyDescent="0.25">
      <c r="A96" s="3" t="s">
        <v>25</v>
      </c>
      <c r="B96" s="1" t="s">
        <v>15</v>
      </c>
      <c r="C96" s="1" t="s">
        <v>650</v>
      </c>
      <c r="D96" s="9" t="str">
        <f>ROUND((MIN('[1]Citoquinas todos los datos'!O76,'[1]Citoquinas todos los datos'!O80,'[1]Citoquinas todos los datos'!O84)+MEDIAN('[1]Citoquinas todos los datos'!O76,'[1]Citoquinas todos los datos'!O80,'[1]Citoquinas todos los datos'!O84))/2,3)&amp;" - "&amp;ROUND((MEDIAN('[1]Citoquinas todos los datos'!O76,'[1]Citoquinas todos los datos'!O80,'[1]Citoquinas todos los datos'!O84)+MAX('[1]Citoquinas todos los datos'!O76,'[1]Citoquinas todos los datos'!O80,'[1]Citoquinas todos los datos'!O84))/2,3)</f>
        <v>35,395 - 79,555</v>
      </c>
      <c r="E96" s="39">
        <v>0.72697665293309788</v>
      </c>
      <c r="F96" s="40">
        <v>-0.46001906256986275</v>
      </c>
      <c r="G96" s="40">
        <v>-27.30233470669021</v>
      </c>
      <c r="H96" s="40">
        <v>-23.193333333333335</v>
      </c>
      <c r="I96" s="40">
        <v>-0.15809324729619195</v>
      </c>
      <c r="J96" s="1"/>
      <c r="K96" s="1" t="s">
        <v>17</v>
      </c>
      <c r="L96" s="1" t="s">
        <v>651</v>
      </c>
      <c r="M96" s="9" t="str">
        <f>ROUND((3*MIN('[1]Citoquinas todos los datos'!O74,'[1]Citoquinas todos los datos'!O78)+MAX('[1]Citoquinas todos los datos'!O74,'[1]Citoquinas todos los datos'!O78))/4,3)&amp;" - "&amp;ROUND((MIN('[1]Citoquinas todos los datos'!O74,'[1]Citoquinas todos los datos'!O78)+3*MAX('[1]Citoquinas todos los datos'!O74,'[1]Citoquinas todos los datos'!O78))/4,3)</f>
        <v>35,145 - 53,255</v>
      </c>
      <c r="N96" s="39" t="s">
        <v>731</v>
      </c>
      <c r="O96" s="39" t="s">
        <v>731</v>
      </c>
      <c r="P96" s="39" t="s">
        <v>731</v>
      </c>
      <c r="Q96" s="39" t="s">
        <v>731</v>
      </c>
      <c r="R96" s="39" t="s">
        <v>731</v>
      </c>
      <c r="S96" s="9"/>
      <c r="T96" s="1" t="s">
        <v>17</v>
      </c>
      <c r="U96" s="1" t="s">
        <v>652</v>
      </c>
      <c r="V96" s="9" t="str">
        <f>ROUND((3*MIN('[1]Citoquinas todos los datos'!O75,'[1]Citoquinas todos los datos'!O83)+MAX('[1]Citoquinas todos los datos'!O75,'[1]Citoquinas todos los datos'!O83))/4,3)&amp;" - "&amp;ROUND((MIN('[1]Citoquinas todos los datos'!O75,'[1]Citoquinas todos los datos'!O83)+3*MAX('[1]Citoquinas todos los datos'!O75,'[1]Citoquinas todos los datos'!O83))/4,3)</f>
        <v>55,498 - 62,353</v>
      </c>
      <c r="W96" s="39" t="s">
        <v>731</v>
      </c>
      <c r="X96" s="39" t="s">
        <v>731</v>
      </c>
      <c r="Y96" s="39" t="s">
        <v>731</v>
      </c>
      <c r="Z96" s="39" t="s">
        <v>731</v>
      </c>
      <c r="AA96" s="39" t="s">
        <v>731</v>
      </c>
      <c r="AB96" s="9"/>
      <c r="AC96" s="1" t="s">
        <v>63</v>
      </c>
      <c r="AD96" s="1" t="s">
        <v>63</v>
      </c>
      <c r="AE96" s="9" t="s">
        <v>63</v>
      </c>
      <c r="AF96" s="39" t="s">
        <v>731</v>
      </c>
      <c r="AG96" s="46" t="s">
        <v>731</v>
      </c>
      <c r="AH96" s="46" t="s">
        <v>731</v>
      </c>
      <c r="AI96" s="46" t="s">
        <v>731</v>
      </c>
      <c r="AJ96" s="46" t="s">
        <v>731</v>
      </c>
    </row>
    <row r="97" spans="1:36" x14ac:dyDescent="0.25">
      <c r="A97" s="3" t="s">
        <v>35</v>
      </c>
      <c r="B97" s="1" t="s">
        <v>15</v>
      </c>
      <c r="C97" s="1" t="s">
        <v>653</v>
      </c>
      <c r="D97" s="9" t="str">
        <f>ROUND((MIN('[1]Citoquinas todos los datos'!O4,'[1]Citoquinas todos los datos'!O8,'[1]Citoquinas todos los datos'!O12)+MEDIAN('[1]Citoquinas todos los datos'!O4,'[1]Citoquinas todos los datos'!O8,'[1]Citoquinas todos los datos'!O12))/2,3)&amp;" - "&amp;ROUND((MEDIAN('[1]Citoquinas todos los datos'!O4,'[1]Citoquinas todos los datos'!O8,'[1]Citoquinas todos los datos'!O12)+MAX('[1]Citoquinas todos los datos'!O4,'[1]Citoquinas todos los datos'!O8,'[1]Citoquinas todos los datos'!O12))/2,3)</f>
        <v>44,42 - 102,045</v>
      </c>
      <c r="E97" s="39">
        <v>0.87227781047675113</v>
      </c>
      <c r="F97" s="40">
        <v>-0.19714040487838655</v>
      </c>
      <c r="G97" s="40">
        <v>-12.772218952324888</v>
      </c>
      <c r="H97" s="40">
        <v>-10.849999999999994</v>
      </c>
      <c r="I97" s="40">
        <v>-6.8217541653568026E-2</v>
      </c>
      <c r="J97" s="1"/>
      <c r="K97" s="1" t="s">
        <v>15</v>
      </c>
      <c r="L97" s="1" t="s">
        <v>654</v>
      </c>
      <c r="M97" s="9" t="str">
        <f>ROUND((MIN('[1]Citoquinas todos los datos'!O2,'[1]Citoquinas todos los datos'!O6,'[1]Citoquinas todos los datos'!O10)+MEDIAN('[1]Citoquinas todos los datos'!O2,'[1]Citoquinas todos los datos'!O6,'[1]Citoquinas todos los datos'!O10))/2,3)&amp;" - "&amp;ROUND((MEDIAN('[1]Citoquinas todos los datos'!O2,'[1]Citoquinas todos los datos'!O6,'[1]Citoquinas todos los datos'!O10)+MAX('[1]Citoquinas todos los datos'!O2,'[1]Citoquinas todos los datos'!O6,'[1]Citoquinas todos los datos'!O10))/2,3)</f>
        <v>63,16 - 96,835</v>
      </c>
      <c r="N97" s="39" t="s">
        <v>731</v>
      </c>
      <c r="O97" s="39" t="s">
        <v>731</v>
      </c>
      <c r="P97" s="39" t="s">
        <v>731</v>
      </c>
      <c r="Q97" s="39" t="s">
        <v>731</v>
      </c>
      <c r="R97" s="39" t="s">
        <v>731</v>
      </c>
      <c r="S97" s="9"/>
      <c r="T97" s="1" t="s">
        <v>15</v>
      </c>
      <c r="U97" s="1" t="s">
        <v>655</v>
      </c>
      <c r="V97" s="9" t="str">
        <f>ROUND((3*MIN('[1]Citoquinas todos los datos'!O3,'[1]Citoquinas todos los datos'!O11)+MAX('[1]Citoquinas todos los datos'!O3,'[1]Citoquinas todos los datos'!O11))/4,3)&amp;" - "&amp;ROUND((MIN('[1]Citoquinas todos los datos'!O3,'[1]Citoquinas todos los datos'!O11)+3*MAX('[1]Citoquinas todos los datos'!O3,'[1]Citoquinas todos los datos'!O11))/4,3)</f>
        <v>31,415 - 42,265</v>
      </c>
      <c r="W97" s="39" t="s">
        <v>731</v>
      </c>
      <c r="X97" s="39" t="s">
        <v>731</v>
      </c>
      <c r="Y97" s="39" t="s">
        <v>731</v>
      </c>
      <c r="Z97" s="39" t="s">
        <v>731</v>
      </c>
      <c r="AA97" s="39" t="s">
        <v>731</v>
      </c>
      <c r="AB97" s="9"/>
      <c r="AC97" s="1" t="s">
        <v>17</v>
      </c>
      <c r="AD97" s="1" t="s">
        <v>656</v>
      </c>
      <c r="AE97" s="9" t="str">
        <f>ROUND('[1]Citoquinas todos los datos'!O13,3)&amp;" - "&amp;ROUND('[1]Citoquinas todos los datos'!O13,3)</f>
        <v>107,27 - 107,27</v>
      </c>
      <c r="AF97" s="39" t="s">
        <v>731</v>
      </c>
      <c r="AG97" s="46" t="s">
        <v>731</v>
      </c>
      <c r="AH97" s="46" t="s">
        <v>731</v>
      </c>
      <c r="AI97" s="46" t="s">
        <v>731</v>
      </c>
      <c r="AJ97" s="46" t="s">
        <v>731</v>
      </c>
    </row>
    <row r="98" spans="1:36" x14ac:dyDescent="0.25">
      <c r="A98" s="3" t="s">
        <v>42</v>
      </c>
      <c r="B98" s="1" t="s">
        <v>17</v>
      </c>
      <c r="C98" s="1" t="s">
        <v>657</v>
      </c>
      <c r="D98" s="9" t="str">
        <f>ROUND((3*MIN('[1]Citoquinas todos los datos'!O16,'[1]Citoquinas todos los datos'!O20)+MAX('[1]Citoquinas todos los datos'!O16,'[1]Citoquinas todos los datos'!O20))/4,3)&amp;" - "&amp;ROUND((MIN('[1]Citoquinas todos los datos'!O16,'[1]Citoquinas todos los datos'!O20)+3*MAX('[1]Citoquinas todos los datos'!O16,'[1]Citoquinas todos los datos'!O20))/4,3)</f>
        <v>18,09 - 22,81</v>
      </c>
      <c r="E98" s="39">
        <v>0.24072984108299003</v>
      </c>
      <c r="F98" s="40">
        <v>-2.0545131042424716</v>
      </c>
      <c r="G98" s="40">
        <v>-75.927015891701004</v>
      </c>
      <c r="H98" s="40">
        <v>-64.5</v>
      </c>
      <c r="I98" s="40">
        <v>-0.61195445920303604</v>
      </c>
      <c r="J98" s="1"/>
      <c r="K98" s="1" t="s">
        <v>72</v>
      </c>
      <c r="L98" s="1" t="s">
        <v>658</v>
      </c>
      <c r="M98" s="9" t="str">
        <f>ROUND('[1]Citoquinas todos los datos'!O14,3)&amp;" - "&amp;ROUND('[1]Citoquinas todos los datos'!O14,3)</f>
        <v>43,94 - 43,94</v>
      </c>
      <c r="N98" s="39" t="s">
        <v>731</v>
      </c>
      <c r="O98" s="39" t="s">
        <v>731</v>
      </c>
      <c r="P98" s="39" t="s">
        <v>731</v>
      </c>
      <c r="Q98" s="39" t="s">
        <v>731</v>
      </c>
      <c r="R98" s="39" t="s">
        <v>731</v>
      </c>
      <c r="S98" s="9"/>
      <c r="T98" s="1" t="s">
        <v>72</v>
      </c>
      <c r="U98" s="1" t="s">
        <v>659</v>
      </c>
      <c r="V98" s="9" t="str">
        <f>ROUND('[1]Citoquinas todos los datos'!O15,3)&amp;" - "&amp;ROUND('[1]Citoquinas todos los datos'!O15,3)</f>
        <v>54,37 - 54,37</v>
      </c>
      <c r="W98" s="39" t="s">
        <v>731</v>
      </c>
      <c r="X98" s="39" t="s">
        <v>731</v>
      </c>
      <c r="Y98" s="39" t="s">
        <v>731</v>
      </c>
      <c r="Z98" s="39" t="s">
        <v>731</v>
      </c>
      <c r="AA98" s="39" t="s">
        <v>731</v>
      </c>
      <c r="AB98" s="9"/>
      <c r="AC98" s="1" t="s">
        <v>72</v>
      </c>
      <c r="AD98" s="1" t="s">
        <v>660</v>
      </c>
      <c r="AE98" s="9" t="str">
        <f>ROUND('[1]Citoquinas todos los datos'!O21,3)&amp;" - "&amp;ROUND('[1]Citoquinas todos los datos'!O21,3)</f>
        <v>74,27 - 74,27</v>
      </c>
      <c r="AF98" s="39" t="s">
        <v>731</v>
      </c>
      <c r="AG98" s="46" t="s">
        <v>731</v>
      </c>
      <c r="AH98" s="46" t="s">
        <v>731</v>
      </c>
      <c r="AI98" s="46" t="s">
        <v>731</v>
      </c>
      <c r="AJ98" s="46" t="s">
        <v>731</v>
      </c>
    </row>
    <row r="99" spans="1:36" x14ac:dyDescent="0.25">
      <c r="A99" s="3" t="s">
        <v>48</v>
      </c>
      <c r="B99" s="1" t="s">
        <v>15</v>
      </c>
      <c r="C99" s="1" t="s">
        <v>661</v>
      </c>
      <c r="D99" s="9" t="str">
        <f>ROUND((MIN('[1]Citoquinas todos los datos'!O28,'[1]Citoquinas todos los datos'!O32,'[1]Citoquinas todos los datos'!O36)+MEDIAN('[1]Citoquinas todos los datos'!O28,'[1]Citoquinas todos los datos'!O32,'[1]Citoquinas todos los datos'!O36))/2,3)&amp;" - "&amp;ROUND((MEDIAN('[1]Citoquinas todos los datos'!O28,'[1]Citoquinas todos los datos'!O32,'[1]Citoquinas todos los datos'!O36)+MAX('[1]Citoquinas todos los datos'!O28,'[1]Citoquinas todos los datos'!O32,'[1]Citoquinas todos los datos'!O36))/2,3)</f>
        <v>35,615 - 71,7</v>
      </c>
      <c r="E99" s="39">
        <v>0.6171865803413773</v>
      </c>
      <c r="F99" s="40">
        <v>-0.69622140155522771</v>
      </c>
      <c r="G99" s="40">
        <v>-38.281341965862268</v>
      </c>
      <c r="H99" s="40">
        <v>-32.519999999999996</v>
      </c>
      <c r="I99" s="40">
        <v>-0.23671567913815691</v>
      </c>
      <c r="J99" s="1"/>
      <c r="K99" s="1" t="s">
        <v>72</v>
      </c>
      <c r="L99" s="1" t="s">
        <v>662</v>
      </c>
      <c r="M99" s="9" t="str">
        <f>ROUND('[1]Citoquinas todos los datos'!O34,3)&amp;" - "&amp;ROUND('[1]Citoquinas todos los datos'!O34,3)</f>
        <v>115,23 - 115,23</v>
      </c>
      <c r="N99" s="39" t="s">
        <v>731</v>
      </c>
      <c r="O99" s="39" t="s">
        <v>731</v>
      </c>
      <c r="P99" s="39" t="s">
        <v>731</v>
      </c>
      <c r="Q99" s="39" t="s">
        <v>731</v>
      </c>
      <c r="R99" s="39" t="s">
        <v>731</v>
      </c>
      <c r="S99" s="9"/>
      <c r="T99" s="1" t="s">
        <v>72</v>
      </c>
      <c r="U99" s="1" t="s">
        <v>663</v>
      </c>
      <c r="V99" s="9" t="str">
        <f>ROUND('[1]Citoquinas todos los datos'!O31,3)&amp;" - "&amp;ROUND('[1]Citoquinas todos los datos'!O31,3)</f>
        <v>41,51 - 41,51</v>
      </c>
      <c r="W99" s="39" t="s">
        <v>731</v>
      </c>
      <c r="X99" s="39" t="s">
        <v>731</v>
      </c>
      <c r="Y99" s="39" t="s">
        <v>731</v>
      </c>
      <c r="Z99" s="39" t="s">
        <v>731</v>
      </c>
      <c r="AA99" s="39" t="s">
        <v>731</v>
      </c>
      <c r="AB99" s="9"/>
      <c r="AC99" s="1" t="s">
        <v>72</v>
      </c>
      <c r="AD99" s="1" t="s">
        <v>664</v>
      </c>
      <c r="AE99" s="9" t="str">
        <f>ROUND('[1]Citoquinas todos los datos'!O37,3)&amp;" - "&amp;ROUND('[1]Citoquinas todos los datos'!O37,3)</f>
        <v>27,68 - 27,68</v>
      </c>
      <c r="AF99" s="39" t="s">
        <v>731</v>
      </c>
      <c r="AG99" s="46" t="s">
        <v>731</v>
      </c>
      <c r="AH99" s="46" t="s">
        <v>731</v>
      </c>
      <c r="AI99" s="46" t="s">
        <v>731</v>
      </c>
      <c r="AJ99" s="46" t="s">
        <v>731</v>
      </c>
    </row>
    <row r="100" spans="1:36" x14ac:dyDescent="0.25">
      <c r="A100" s="3" t="s">
        <v>54</v>
      </c>
      <c r="B100" s="1" t="s">
        <v>17</v>
      </c>
      <c r="C100" s="1" t="s">
        <v>665</v>
      </c>
      <c r="D100" s="9" t="str">
        <f>ROUND((3*MIN('[1]Citoquinas todos los datos'!O40,'[1]Citoquinas todos los datos'!O44)+MAX('[1]Citoquinas todos los datos'!O40,'[1]Citoquinas todos los datos'!O44))/4,3)&amp;" - "&amp;ROUND((MIN('[1]Citoquinas todos los datos'!O40,'[1]Citoquinas todos los datos'!O44)+3*MAX('[1]Citoquinas todos los datos'!O40,'[1]Citoquinas todos los datos'!O44))/4,3)</f>
        <v>25,098 - 41,173</v>
      </c>
      <c r="E100" s="39">
        <v>0.39005297233666858</v>
      </c>
      <c r="F100" s="40">
        <v>-1.3582580279951522</v>
      </c>
      <c r="G100" s="40">
        <v>-60.994702766333141</v>
      </c>
      <c r="H100" s="40">
        <v>-51.815000000000005</v>
      </c>
      <c r="I100" s="40">
        <v>-0.43879408900368377</v>
      </c>
      <c r="J100" s="1"/>
      <c r="K100" s="1" t="s">
        <v>15</v>
      </c>
      <c r="L100" s="1" t="s">
        <v>666</v>
      </c>
      <c r="M100" s="9" t="str">
        <f>ROUND((MIN('[1]Citoquinas todos los datos'!O38,'[1]Citoquinas todos los datos'!O42,'[1]Citoquinas todos los datos'!O46)+MEDIAN('[1]Citoquinas todos los datos'!O38,'[1]Citoquinas todos los datos'!O42,'[1]Citoquinas todos los datos'!O46))/2,3)&amp;" - "&amp;ROUND((MEDIAN('[1]Citoquinas todos los datos'!O38,'[1]Citoquinas todos los datos'!O42,'[1]Citoquinas todos los datos'!O46)+MAX('[1]Citoquinas todos los datos'!O38,'[1]Citoquinas todos los datos'!O42,'[1]Citoquinas todos los datos'!O46))/2,3)</f>
        <v>17,045 - 48,39</v>
      </c>
      <c r="N100" s="39" t="s">
        <v>731</v>
      </c>
      <c r="O100" s="39" t="s">
        <v>731</v>
      </c>
      <c r="P100" s="39" t="s">
        <v>731</v>
      </c>
      <c r="Q100" s="39" t="s">
        <v>731</v>
      </c>
      <c r="R100" s="39" t="s">
        <v>731</v>
      </c>
      <c r="S100" s="9"/>
      <c r="T100" s="1" t="s">
        <v>63</v>
      </c>
      <c r="U100" s="1" t="s">
        <v>63</v>
      </c>
      <c r="V100" s="9" t="s">
        <v>63</v>
      </c>
      <c r="W100" s="39" t="s">
        <v>731</v>
      </c>
      <c r="X100" s="39" t="s">
        <v>731</v>
      </c>
      <c r="Y100" s="39" t="s">
        <v>731</v>
      </c>
      <c r="Z100" s="39" t="s">
        <v>731</v>
      </c>
      <c r="AA100" s="39" t="s">
        <v>731</v>
      </c>
      <c r="AB100" s="9"/>
      <c r="AC100" s="1" t="s">
        <v>17</v>
      </c>
      <c r="AD100" s="1" t="s">
        <v>667</v>
      </c>
      <c r="AE100" s="9" t="str">
        <f>ROUND((3*MIN('[1]Citoquinas todos los datos'!O41,'[1]Citoquinas todos los datos'!O45)+MAX('[1]Citoquinas todos los datos'!O41,'[1]Citoquinas todos los datos'!O45))/4,3)&amp;" - "&amp;ROUND((MIN('[1]Citoquinas todos los datos'!O41,'[1]Citoquinas todos los datos'!O45)+3*MAX('[1]Citoquinas todos los datos'!O41,'[1]Citoquinas todos los datos'!O45))/4,3)</f>
        <v>45,733 - 80,378</v>
      </c>
      <c r="AF100" s="39" t="s">
        <v>731</v>
      </c>
      <c r="AG100" s="46" t="s">
        <v>731</v>
      </c>
      <c r="AH100" s="46" t="s">
        <v>731</v>
      </c>
      <c r="AI100" s="46" t="s">
        <v>731</v>
      </c>
      <c r="AJ100" s="46" t="s">
        <v>731</v>
      </c>
    </row>
    <row r="101" spans="1:36" x14ac:dyDescent="0.25">
      <c r="A101" s="3" t="s">
        <v>59</v>
      </c>
      <c r="B101" s="1" t="s">
        <v>17</v>
      </c>
      <c r="C101" s="1" t="s">
        <v>668</v>
      </c>
      <c r="D101" s="9" t="str">
        <f>ROUND((3*MIN('[1]Citoquinas todos los datos'!O63,'[1]Citoquinas todos los datos'!O66)+MAX('[1]Citoquinas todos los datos'!O63,'[1]Citoquinas todos los datos'!O66))/4,3)&amp;" - "&amp;ROUND((MIN('[1]Citoquinas todos los datos'!O63,'[1]Citoquinas todos los datos'!O66)+3*MAX('[1]Citoquinas todos los datos'!O63,'[1]Citoquinas todos los datos'!O66))/4,3)</f>
        <v>63,073 - 156,238</v>
      </c>
      <c r="E101" s="39">
        <v>1.2908181283107709</v>
      </c>
      <c r="F101" s="40">
        <v>0.3682857443570749</v>
      </c>
      <c r="G101" s="40">
        <v>29.081812831077091</v>
      </c>
      <c r="H101" s="40">
        <v>24.704999999999998</v>
      </c>
      <c r="I101" s="40">
        <v>0.12694946173017135</v>
      </c>
      <c r="J101" s="1"/>
      <c r="K101" s="1" t="s">
        <v>72</v>
      </c>
      <c r="L101" s="1" t="s">
        <v>669</v>
      </c>
      <c r="M101" s="9" t="str">
        <f>ROUND('[1]Citoquinas todos los datos'!O62,3)&amp;" - "&amp;ROUND('[1]Citoquinas todos los datos'!O62,3)</f>
        <v>108,9 - 108,9</v>
      </c>
      <c r="N101" s="39" t="s">
        <v>731</v>
      </c>
      <c r="O101" s="39" t="s">
        <v>731</v>
      </c>
      <c r="P101" s="39" t="s">
        <v>731</v>
      </c>
      <c r="Q101" s="39" t="s">
        <v>731</v>
      </c>
      <c r="R101" s="39" t="s">
        <v>731</v>
      </c>
      <c r="S101" s="9"/>
      <c r="T101" s="1" t="s">
        <v>72</v>
      </c>
      <c r="U101" s="1" t="s">
        <v>669</v>
      </c>
      <c r="V101" s="9" t="str">
        <f>ROUND('[1]Citoquinas todos los datos'!O62,3)&amp;" - "&amp;ROUND('[1]Citoquinas todos los datos'!O62,3)</f>
        <v>108,9 - 108,9</v>
      </c>
      <c r="W101" s="39" t="s">
        <v>731</v>
      </c>
      <c r="X101" s="39" t="s">
        <v>731</v>
      </c>
      <c r="Y101" s="39" t="s">
        <v>731</v>
      </c>
      <c r="Z101" s="39" t="s">
        <v>731</v>
      </c>
      <c r="AA101" s="39" t="s">
        <v>731</v>
      </c>
      <c r="AB101" s="9"/>
      <c r="AC101" s="1" t="s">
        <v>17</v>
      </c>
      <c r="AD101" s="1" t="s">
        <v>670</v>
      </c>
      <c r="AE101" s="9" t="str">
        <f>ROUND((3*MIN('[1]Citoquinas todos los datos'!O64,'[1]Citoquinas todos los datos'!O67)+MAX('[1]Citoquinas todos los datos'!O64,'[1]Citoquinas todos los datos'!O67))/4,3)&amp;" - "&amp;ROUND((MIN('[1]Citoquinas todos los datos'!O64,'[1]Citoquinas todos los datos'!O67)+3*MAX('[1]Citoquinas todos los datos'!O64,'[1]Citoquinas todos los datos'!O67))/4,3)</f>
        <v>21,4 - 22,04</v>
      </c>
      <c r="AF101" s="39" t="s">
        <v>731</v>
      </c>
      <c r="AG101" s="46" t="s">
        <v>731</v>
      </c>
      <c r="AH101" s="46" t="s">
        <v>731</v>
      </c>
      <c r="AI101" s="46" t="s">
        <v>731</v>
      </c>
      <c r="AJ101" s="46" t="s">
        <v>731</v>
      </c>
    </row>
    <row r="102" spans="1:36" x14ac:dyDescent="0.25">
      <c r="A102" s="3" t="s">
        <v>64</v>
      </c>
      <c r="B102" s="1" t="s">
        <v>72</v>
      </c>
      <c r="C102" s="1" t="s">
        <v>213</v>
      </c>
      <c r="D102" s="9" t="str">
        <f>ROUND('[1]Citoquinas todos los datos'!O69,3)&amp;" - "&amp;ROUND('[1]Citoquinas todos los datos'!O69,3)</f>
        <v>38,95 - 38,95</v>
      </c>
      <c r="E102" s="39" t="s">
        <v>731</v>
      </c>
      <c r="F102" s="40" t="s">
        <v>731</v>
      </c>
      <c r="G102" s="40" t="s">
        <v>731</v>
      </c>
      <c r="H102" s="40" t="s">
        <v>731</v>
      </c>
      <c r="I102" s="40" t="s">
        <v>731</v>
      </c>
      <c r="J102" s="1"/>
      <c r="K102" s="1" t="s">
        <v>72</v>
      </c>
      <c r="L102" s="1" t="s">
        <v>671</v>
      </c>
      <c r="M102" s="9" t="str">
        <f>ROUND('[1]Citoquinas todos los datos'!O68,3)&amp;" - "&amp;ROUND('[1]Citoquinas todos los datos'!O68,3)</f>
        <v>53,85 - 53,85</v>
      </c>
      <c r="N102" s="39" t="s">
        <v>731</v>
      </c>
      <c r="O102" s="39" t="s">
        <v>731</v>
      </c>
      <c r="P102" s="39" t="s">
        <v>731</v>
      </c>
      <c r="Q102" s="39" t="s">
        <v>731</v>
      </c>
      <c r="R102" s="39" t="s">
        <v>731</v>
      </c>
      <c r="S102" s="9"/>
      <c r="T102" s="1" t="s">
        <v>72</v>
      </c>
      <c r="U102" s="1" t="s">
        <v>671</v>
      </c>
      <c r="V102" s="9" t="str">
        <f>ROUND('[1]Citoquinas todos los datos'!O68,3)&amp;" - "&amp;ROUND('[1]Citoquinas todos los datos'!O68,3)</f>
        <v>53,85 - 53,85</v>
      </c>
      <c r="W102" s="39" t="s">
        <v>731</v>
      </c>
      <c r="X102" s="39" t="s">
        <v>731</v>
      </c>
      <c r="Y102" s="39" t="s">
        <v>731</v>
      </c>
      <c r="Z102" s="39" t="s">
        <v>731</v>
      </c>
      <c r="AA102" s="39" t="s">
        <v>731</v>
      </c>
      <c r="AB102" s="9"/>
      <c r="AC102" s="1" t="s">
        <v>17</v>
      </c>
      <c r="AD102" s="1" t="s">
        <v>672</v>
      </c>
      <c r="AE102" s="9" t="str">
        <f>ROUND((3*MIN('[1]Citoquinas todos los datos'!O70,'[1]Citoquinas todos los datos'!O73)+MAX('[1]Citoquinas todos los datos'!O70,'[1]Citoquinas todos los datos'!O73))/4,3)&amp;" - "&amp;ROUND((MIN('[1]Citoquinas todos los datos'!O70,'[1]Citoquinas todos los datos'!O73)+3*MAX('[1]Citoquinas todos los datos'!O70,'[1]Citoquinas todos los datos'!O73))/4,3)</f>
        <v>23,975 - 25,685</v>
      </c>
      <c r="AF102" s="39" t="s">
        <v>731</v>
      </c>
      <c r="AG102" s="46" t="s">
        <v>731</v>
      </c>
      <c r="AH102" s="46" t="s">
        <v>731</v>
      </c>
      <c r="AI102" s="46" t="s">
        <v>731</v>
      </c>
      <c r="AJ102" s="46" t="s">
        <v>731</v>
      </c>
    </row>
    <row r="103" spans="1:36" x14ac:dyDescent="0.25">
      <c r="A103" s="35" t="s">
        <v>673</v>
      </c>
      <c r="B103" s="29"/>
      <c r="C103" s="29"/>
      <c r="D103" s="29"/>
      <c r="E103" s="29"/>
      <c r="F103" s="29"/>
      <c r="J103" s="29"/>
      <c r="K103" s="29"/>
      <c r="L103" s="29"/>
      <c r="M103" s="29"/>
      <c r="N103" s="29"/>
      <c r="O103" s="29"/>
      <c r="S103" s="29"/>
      <c r="T103" s="29"/>
      <c r="U103" s="29"/>
      <c r="V103" s="29"/>
      <c r="W103" s="29"/>
      <c r="X103" s="29"/>
      <c r="AB103" s="29"/>
      <c r="AC103" s="29"/>
      <c r="AD103" s="29"/>
      <c r="AE103" s="29"/>
      <c r="AF103" s="29"/>
    </row>
    <row r="104" spans="1:36" x14ac:dyDescent="0.25">
      <c r="A104" s="3" t="s">
        <v>14</v>
      </c>
      <c r="B104" s="1" t="s">
        <v>15</v>
      </c>
      <c r="C104" s="1" t="s">
        <v>674</v>
      </c>
      <c r="D104" s="9" t="str">
        <f>ROUND((MIN('[1]Citoquinas todos los datos'!P52,'[1]Citoquinas todos los datos'!P56,'[1]Citoquinas todos los datos'!P60)+MEDIAN('[1]Citoquinas todos los datos'!P52,'[1]Citoquinas todos los datos'!P56,'[1]Citoquinas todos los datos'!P60))/2,3)&amp;" - "&amp;ROUND((MEDIAN('[1]Citoquinas todos los datos'!P52,'[1]Citoquinas todos los datos'!P56,'[1]Citoquinas todos los datos'!P60)+MAX('[1]Citoquinas todos los datos'!P52,'[1]Citoquinas todos los datos'!P56,'[1]Citoquinas todos los datos'!P60))/2,3)</f>
        <v>504,56 - 512,365</v>
      </c>
      <c r="E104" s="39">
        <v>1</v>
      </c>
      <c r="F104" s="40">
        <v>0</v>
      </c>
      <c r="G104" s="40">
        <v>0</v>
      </c>
      <c r="H104" s="40">
        <v>0</v>
      </c>
      <c r="I104" s="40">
        <v>0</v>
      </c>
      <c r="J104" s="1"/>
      <c r="K104" s="1" t="s">
        <v>72</v>
      </c>
      <c r="L104" s="1" t="s">
        <v>675</v>
      </c>
      <c r="M104" s="9" t="str">
        <f>ROUND('[1]Citoquinas todos los datos'!P50,3)&amp;" - "&amp;ROUND('[1]Citoquinas todos los datos'!P50,3)</f>
        <v>506,37 - 506,37</v>
      </c>
      <c r="N104" s="39">
        <v>1</v>
      </c>
      <c r="O104" s="39">
        <v>0</v>
      </c>
      <c r="P104" s="39">
        <v>0</v>
      </c>
      <c r="Q104" s="39">
        <v>0</v>
      </c>
      <c r="R104" s="39">
        <v>0</v>
      </c>
      <c r="S104" s="9"/>
      <c r="T104" s="1" t="s">
        <v>72</v>
      </c>
      <c r="U104" s="1" t="s">
        <v>676</v>
      </c>
      <c r="V104" s="9" t="str">
        <f>ROUND('[1]Citoquinas todos los datos'!P51,3)&amp;" - "&amp;ROUND('[1]Citoquinas todos los datos'!P51,3)</f>
        <v>552,45 - 552,45</v>
      </c>
      <c r="W104" s="39">
        <v>1</v>
      </c>
      <c r="X104" s="39">
        <v>0</v>
      </c>
      <c r="Y104" s="39">
        <v>0</v>
      </c>
      <c r="Z104" s="39">
        <v>0</v>
      </c>
      <c r="AA104" s="39">
        <v>0</v>
      </c>
      <c r="AB104" s="9"/>
      <c r="AC104" s="1" t="s">
        <v>72</v>
      </c>
      <c r="AD104" s="1" t="s">
        <v>677</v>
      </c>
      <c r="AE104" s="9" t="str">
        <f>ROUND('[1]Citoquinas todos los datos'!P61,3)&amp;" - "&amp;ROUND('[1]Citoquinas todos los datos'!P61,3)</f>
        <v>514,05 - 514,05</v>
      </c>
      <c r="AF104" s="39">
        <v>1</v>
      </c>
      <c r="AG104" s="46">
        <v>0</v>
      </c>
      <c r="AH104" s="46">
        <v>0</v>
      </c>
      <c r="AI104" s="46">
        <v>0</v>
      </c>
      <c r="AJ104" s="46">
        <v>0</v>
      </c>
    </row>
    <row r="105" spans="1:36" x14ac:dyDescent="0.25">
      <c r="A105" s="3" t="s">
        <v>25</v>
      </c>
      <c r="B105" s="1" t="s">
        <v>15</v>
      </c>
      <c r="C105" s="1" t="s">
        <v>678</v>
      </c>
      <c r="D105" s="9" t="str">
        <f>ROUND((MIN('[1]Citoquinas todos los datos'!P76,'[1]Citoquinas todos los datos'!P80,'[1]Citoquinas todos los datos'!P84)+MEDIAN('[1]Citoquinas todos los datos'!P76,'[1]Citoquinas todos los datos'!P80,'[1]Citoquinas todos los datos'!P84))/2,3)&amp;" - "&amp;ROUND((MEDIAN('[1]Citoquinas todos los datos'!P76,'[1]Citoquinas todos los datos'!P80,'[1]Citoquinas todos los datos'!P84)+MAX('[1]Citoquinas todos los datos'!P76,'[1]Citoquinas todos los datos'!P80,'[1]Citoquinas todos los datos'!P84))/2,3)</f>
        <v>507,385 - 513,765</v>
      </c>
      <c r="E105" s="39">
        <v>1.0032282990203782</v>
      </c>
      <c r="F105" s="40">
        <v>4.6499493057546096E-3</v>
      </c>
      <c r="G105" s="40">
        <v>0.32282990203782447</v>
      </c>
      <c r="H105" s="40">
        <v>1.6433333333333735</v>
      </c>
      <c r="I105" s="40">
        <v>1.6115482304024033E-3</v>
      </c>
      <c r="J105" s="1"/>
      <c r="K105" s="1" t="s">
        <v>15</v>
      </c>
      <c r="L105" s="1" t="s">
        <v>679</v>
      </c>
      <c r="M105" s="9" t="str">
        <f>ROUND((MIN('[1]Citoquinas todos los datos'!P74,'[1]Citoquinas todos los datos'!P78,'[1]Citoquinas todos los datos'!P82)+MEDIAN('[1]Citoquinas todos los datos'!P74,'[1]Citoquinas todos los datos'!P78,'[1]Citoquinas todos los datos'!P82))/2,3)&amp;" - "&amp;ROUND((MEDIAN('[1]Citoquinas todos los datos'!P74,'[1]Citoquinas todos los datos'!P78,'[1]Citoquinas todos los datos'!P82)+MAX('[1]Citoquinas todos los datos'!P74,'[1]Citoquinas todos los datos'!P78,'[1]Citoquinas todos los datos'!P82))/2,3)</f>
        <v>502,585 - 505,92</v>
      </c>
      <c r="N105" s="39" t="s">
        <v>731</v>
      </c>
      <c r="O105" s="39" t="s">
        <v>731</v>
      </c>
      <c r="P105" s="39" t="s">
        <v>731</v>
      </c>
      <c r="Q105" s="39" t="s">
        <v>731</v>
      </c>
      <c r="R105" s="39" t="s">
        <v>731</v>
      </c>
      <c r="S105" s="9"/>
      <c r="T105" s="1" t="s">
        <v>15</v>
      </c>
      <c r="U105" s="1" t="s">
        <v>680</v>
      </c>
      <c r="V105" s="9" t="str">
        <f>ROUND((MIN('[1]Citoquinas todos los datos'!P75,'[1]Citoquinas todos los datos'!P79,'[1]Citoquinas todos los datos'!P83)+MEDIAN('[1]Citoquinas todos los datos'!P75,'[1]Citoquinas todos los datos'!P79,'[1]Citoquinas todos los datos'!P83))/2,3)&amp;" - "&amp;ROUND((MEDIAN('[1]Citoquinas todos los datos'!P75,'[1]Citoquinas todos los datos'!P79,'[1]Citoquinas todos los datos'!P83)+MAX('[1]Citoquinas todos los datos'!P75,'[1]Citoquinas todos los datos'!P79,'[1]Citoquinas todos los datos'!P83))/2,3)</f>
        <v>506,725 - 518,455</v>
      </c>
      <c r="W105" s="39" t="s">
        <v>731</v>
      </c>
      <c r="X105" s="39" t="s">
        <v>731</v>
      </c>
      <c r="Y105" s="39" t="s">
        <v>731</v>
      </c>
      <c r="Z105" s="39" t="s">
        <v>731</v>
      </c>
      <c r="AA105" s="39" t="s">
        <v>731</v>
      </c>
      <c r="AB105" s="9"/>
      <c r="AC105" s="1" t="s">
        <v>72</v>
      </c>
      <c r="AD105" s="1" t="s">
        <v>681</v>
      </c>
      <c r="AE105" s="9" t="str">
        <f>ROUND('[1]Citoquinas todos los datos'!P85,3)&amp;" - "&amp;ROUND('[1]Citoquinas todos los datos'!P85,3)</f>
        <v>519,79 - 519,79</v>
      </c>
      <c r="AF105" s="39" t="s">
        <v>731</v>
      </c>
      <c r="AG105" s="46" t="s">
        <v>731</v>
      </c>
      <c r="AH105" s="46" t="s">
        <v>731</v>
      </c>
      <c r="AI105" s="46" t="s">
        <v>731</v>
      </c>
      <c r="AJ105" s="46" t="s">
        <v>731</v>
      </c>
    </row>
    <row r="106" spans="1:36" x14ac:dyDescent="0.25">
      <c r="A106" s="3" t="s">
        <v>35</v>
      </c>
      <c r="B106" s="1" t="s">
        <v>15</v>
      </c>
      <c r="C106" s="1" t="s">
        <v>682</v>
      </c>
      <c r="D106" s="9" t="str">
        <f>ROUND((MIN('[1]Citoquinas todos los datos'!P4,'[1]Citoquinas todos los datos'!P8,'[1]Citoquinas todos los datos'!P12)+MEDIAN('[1]Citoquinas todos los datos'!P4,'[1]Citoquinas todos los datos'!P8,'[1]Citoquinas todos los datos'!P12))/2,3)&amp;" - "&amp;ROUND((MEDIAN('[1]Citoquinas todos los datos'!P4,'[1]Citoquinas todos los datos'!P8,'[1]Citoquinas todos los datos'!P12)+MAX('[1]Citoquinas todos los datos'!P4,'[1]Citoquinas todos los datos'!P8,'[1]Citoquinas todos los datos'!P12))/2,3)</f>
        <v>503,71 - 519,885</v>
      </c>
      <c r="E106" s="39">
        <v>1.0090431662213841</v>
      </c>
      <c r="F106" s="40">
        <v>1.2987893335695989E-2</v>
      </c>
      <c r="G106" s="40">
        <v>0.90431662213841246</v>
      </c>
      <c r="H106" s="40">
        <v>4.603333333333353</v>
      </c>
      <c r="I106" s="40">
        <v>4.5012304232330174E-3</v>
      </c>
      <c r="J106" s="1"/>
      <c r="K106" s="1" t="s">
        <v>15</v>
      </c>
      <c r="L106" s="1" t="s">
        <v>683</v>
      </c>
      <c r="M106" s="9" t="str">
        <f>ROUND((MIN('[1]Citoquinas todos los datos'!P2,'[1]Citoquinas todos los datos'!P6,'[1]Citoquinas todos los datos'!P10)+MEDIAN('[1]Citoquinas todos los datos'!P2,'[1]Citoquinas todos los datos'!P6,'[1]Citoquinas todos los datos'!P10))/2,3)&amp;" - "&amp;ROUND((MEDIAN('[1]Citoquinas todos los datos'!P2,'[1]Citoquinas todos los datos'!P6,'[1]Citoquinas todos los datos'!P10)+MAX('[1]Citoquinas todos los datos'!P2,'[1]Citoquinas todos los datos'!P6,'[1]Citoquinas todos los datos'!P10))/2,3)</f>
        <v>503,805 - 506,065</v>
      </c>
      <c r="N106" s="39" t="s">
        <v>731</v>
      </c>
      <c r="O106" s="39" t="s">
        <v>731</v>
      </c>
      <c r="P106" s="39" t="s">
        <v>731</v>
      </c>
      <c r="Q106" s="39" t="s">
        <v>731</v>
      </c>
      <c r="R106" s="39" t="s">
        <v>731</v>
      </c>
      <c r="S106" s="9"/>
      <c r="T106" s="1" t="s">
        <v>15</v>
      </c>
      <c r="U106" s="1" t="s">
        <v>684</v>
      </c>
      <c r="V106" s="9" t="str">
        <f>ROUND((MIN('[1]Citoquinas todos los datos'!P3,'[1]Citoquinas todos los datos'!P7,'[1]Citoquinas todos los datos'!P11)+MEDIAN('[1]Citoquinas todos los datos'!P3,'[1]Citoquinas todos los datos'!P7,'[1]Citoquinas todos los datos'!P11))/2,3)&amp;" - "&amp;ROUND((MEDIAN('[1]Citoquinas todos los datos'!P3,'[1]Citoquinas todos los datos'!P7,'[1]Citoquinas todos los datos'!P11)+MAX('[1]Citoquinas todos los datos'!P3,'[1]Citoquinas todos los datos'!P7,'[1]Citoquinas todos los datos'!P11))/2,3)</f>
        <v>503,995 - 505,69</v>
      </c>
      <c r="W106" s="39" t="s">
        <v>731</v>
      </c>
      <c r="X106" s="39" t="s">
        <v>731</v>
      </c>
      <c r="Y106" s="39" t="s">
        <v>731</v>
      </c>
      <c r="Z106" s="39" t="s">
        <v>731</v>
      </c>
      <c r="AA106" s="39" t="s">
        <v>731</v>
      </c>
      <c r="AB106" s="9"/>
      <c r="AC106" s="1" t="s">
        <v>72</v>
      </c>
      <c r="AD106" s="1" t="s">
        <v>685</v>
      </c>
      <c r="AE106" s="9" t="str">
        <f>ROUND('[1]Citoquinas todos los datos'!P13,3)&amp;" - "&amp;ROUND('[1]Citoquinas todos los datos'!P13,3)</f>
        <v>510,79 - 510,79</v>
      </c>
      <c r="AF106" s="39" t="s">
        <v>731</v>
      </c>
      <c r="AG106" s="46" t="s">
        <v>731</v>
      </c>
      <c r="AH106" s="46" t="s">
        <v>731</v>
      </c>
      <c r="AI106" s="46" t="s">
        <v>731</v>
      </c>
      <c r="AJ106" s="46" t="s">
        <v>731</v>
      </c>
    </row>
    <row r="107" spans="1:36" x14ac:dyDescent="0.25">
      <c r="A107" s="3" t="s">
        <v>42</v>
      </c>
      <c r="B107" s="1" t="s">
        <v>15</v>
      </c>
      <c r="C107" s="1" t="s">
        <v>686</v>
      </c>
      <c r="D107" s="9" t="str">
        <f>ROUND((MIN('[1]Citoquinas todos los datos'!P16,'[1]Citoquinas todos los datos'!P20,'[1]Citoquinas todos los datos'!P24)+MEDIAN('[1]Citoquinas todos los datos'!P16,'[1]Citoquinas todos los datos'!P20,'[1]Citoquinas todos los datos'!P24))/2,3)&amp;" - "&amp;ROUND((MEDIAN('[1]Citoquinas todos los datos'!P16,'[1]Citoquinas todos los datos'!P20,'[1]Citoquinas todos los datos'!P24)+MAX('[1]Citoquinas todos los datos'!P16,'[1]Citoquinas todos los datos'!P20,'[1]Citoquinas todos los datos'!P24))/2,3)</f>
        <v>501,055 - 503,31</v>
      </c>
      <c r="E107" s="39">
        <v>0.98604562837236109</v>
      </c>
      <c r="F107" s="40">
        <v>-2.0273687327335723E-2</v>
      </c>
      <c r="G107" s="40">
        <v>-1.3954371627638906</v>
      </c>
      <c r="H107" s="40">
        <v>-7.1033333333332962</v>
      </c>
      <c r="I107" s="40">
        <v>-7.0262089794356905E-3</v>
      </c>
      <c r="J107" s="1"/>
      <c r="K107" s="1" t="s">
        <v>72</v>
      </c>
      <c r="L107" s="1" t="s">
        <v>687</v>
      </c>
      <c r="M107" s="9" t="str">
        <f>ROUND('[1]Citoquinas todos los datos'!P14,3)&amp;" - "&amp;ROUND('[1]Citoquinas todos los datos'!P14,3)</f>
        <v>506,9 - 506,9</v>
      </c>
      <c r="N107" s="39" t="s">
        <v>731</v>
      </c>
      <c r="O107" s="39" t="s">
        <v>731</v>
      </c>
      <c r="P107" s="39" t="s">
        <v>731</v>
      </c>
      <c r="Q107" s="39" t="s">
        <v>731</v>
      </c>
      <c r="R107" s="39" t="s">
        <v>731</v>
      </c>
      <c r="S107" s="9"/>
      <c r="T107" s="1" t="s">
        <v>15</v>
      </c>
      <c r="U107" s="1" t="s">
        <v>688</v>
      </c>
      <c r="V107" s="9" t="str">
        <f>ROUND((MIN('[1]Citoquinas todos los datos'!P15,'[1]Citoquinas todos los datos'!P19,'[1]Citoquinas todos los datos'!P23)+MEDIAN('[1]Citoquinas todos los datos'!P15,'[1]Citoquinas todos los datos'!P19,'[1]Citoquinas todos los datos'!P23))/2,3)&amp;" - "&amp;ROUND((MEDIAN('[1]Citoquinas todos los datos'!P15,'[1]Citoquinas todos los datos'!P19,'[1]Citoquinas todos los datos'!P23)+MAX('[1]Citoquinas todos los datos'!P15,'[1]Citoquinas todos los datos'!P19,'[1]Citoquinas todos los datos'!P23))/2,3)</f>
        <v>508,84 - 514,34</v>
      </c>
      <c r="W107" s="39" t="s">
        <v>731</v>
      </c>
      <c r="X107" s="39" t="s">
        <v>731</v>
      </c>
      <c r="Y107" s="39" t="s">
        <v>731</v>
      </c>
      <c r="Z107" s="39" t="s">
        <v>731</v>
      </c>
      <c r="AA107" s="39" t="s">
        <v>731</v>
      </c>
      <c r="AB107" s="9"/>
      <c r="AC107" s="1" t="s">
        <v>72</v>
      </c>
      <c r="AD107" s="1" t="s">
        <v>689</v>
      </c>
      <c r="AE107" s="9" t="str">
        <f>ROUND('[1]Citoquinas todos los datos'!P21,3)&amp;" - "&amp;ROUND('[1]Citoquinas todos los datos'!P21,3)</f>
        <v>522,34 - 522,34</v>
      </c>
      <c r="AF107" s="39" t="s">
        <v>731</v>
      </c>
      <c r="AG107" s="46" t="s">
        <v>731</v>
      </c>
      <c r="AH107" s="46" t="s">
        <v>731</v>
      </c>
      <c r="AI107" s="46" t="s">
        <v>731</v>
      </c>
      <c r="AJ107" s="46" t="s">
        <v>731</v>
      </c>
    </row>
    <row r="108" spans="1:36" x14ac:dyDescent="0.25">
      <c r="A108" s="3" t="s">
        <v>48</v>
      </c>
      <c r="B108" s="1" t="s">
        <v>17</v>
      </c>
      <c r="C108" s="1" t="s">
        <v>690</v>
      </c>
      <c r="D108" s="9" t="str">
        <f>ROUND((3*MIN('[1]Citoquinas todos los datos'!P28,'[1]Citoquinas todos los datos'!P32)+MAX('[1]Citoquinas todos los datos'!P28,'[1]Citoquinas todos los datos'!P32))/4,3)&amp;" - "&amp;ROUND((MIN('[1]Citoquinas todos los datos'!P28,'[1]Citoquinas todos los datos'!P32)+3*MAX('[1]Citoquinas todos los datos'!P28,'[1]Citoquinas todos los datos'!P32))/4,3)</f>
        <v>509,07 - 510,53</v>
      </c>
      <c r="E108" s="39">
        <v>1.0014930064435015</v>
      </c>
      <c r="F108" s="40">
        <v>2.1523466578528905E-3</v>
      </c>
      <c r="G108" s="40">
        <v>0.14930064435014767</v>
      </c>
      <c r="H108" s="40">
        <v>0.75999999999999091</v>
      </c>
      <c r="I108" s="40">
        <v>7.4594637038199422E-4</v>
      </c>
      <c r="J108" s="1"/>
      <c r="K108" s="1" t="s">
        <v>72</v>
      </c>
      <c r="L108" s="1" t="s">
        <v>691</v>
      </c>
      <c r="M108" s="9" t="str">
        <f>ROUND('[1]Citoquinas todos los datos'!P34,3)&amp;" - "&amp;ROUND('[1]Citoquinas todos los datos'!P34,3)</f>
        <v>509,68 - 509,68</v>
      </c>
      <c r="N108" s="39" t="s">
        <v>731</v>
      </c>
      <c r="O108" s="39" t="s">
        <v>731</v>
      </c>
      <c r="P108" s="39" t="s">
        <v>731</v>
      </c>
      <c r="Q108" s="39" t="s">
        <v>731</v>
      </c>
      <c r="R108" s="39" t="s">
        <v>731</v>
      </c>
      <c r="S108" s="9"/>
      <c r="T108" s="1" t="s">
        <v>17</v>
      </c>
      <c r="U108" s="1" t="s">
        <v>692</v>
      </c>
      <c r="V108" s="9" t="str">
        <f>ROUND((3*MIN('[1]Citoquinas todos los datos'!P27,'[1]Citoquinas todos los datos'!P31)+MAX('[1]Citoquinas todos los datos'!P27,'[1]Citoquinas todos los datos'!P31))/4,3)&amp;" - "&amp;ROUND((MIN('[1]Citoquinas todos los datos'!P27,'[1]Citoquinas todos los datos'!P31)+3*MAX('[1]Citoquinas todos los datos'!P27,'[1]Citoquinas todos los datos'!P31))/4,3)</f>
        <v>500,775 - 500,965</v>
      </c>
      <c r="W108" s="39" t="s">
        <v>731</v>
      </c>
      <c r="X108" s="39" t="s">
        <v>731</v>
      </c>
      <c r="Y108" s="39" t="s">
        <v>731</v>
      </c>
      <c r="Z108" s="39" t="s">
        <v>731</v>
      </c>
      <c r="AA108" s="39" t="s">
        <v>731</v>
      </c>
      <c r="AB108" s="9"/>
      <c r="AC108" s="1" t="s">
        <v>72</v>
      </c>
      <c r="AD108" s="1" t="s">
        <v>693</v>
      </c>
      <c r="AE108" s="9" t="str">
        <f>ROUND('[1]Citoquinas todos los datos'!P33,3)&amp;" - "&amp;ROUND('[1]Citoquinas todos los datos'!P33,3)</f>
        <v>490,48 - 490,48</v>
      </c>
      <c r="AF108" s="39" t="s">
        <v>731</v>
      </c>
      <c r="AG108" s="46" t="s">
        <v>731</v>
      </c>
      <c r="AH108" s="46" t="s">
        <v>731</v>
      </c>
      <c r="AI108" s="46" t="s">
        <v>731</v>
      </c>
      <c r="AJ108" s="46" t="s">
        <v>731</v>
      </c>
    </row>
    <row r="109" spans="1:36" x14ac:dyDescent="0.25">
      <c r="A109" s="3" t="s">
        <v>54</v>
      </c>
      <c r="B109" s="1" t="s">
        <v>15</v>
      </c>
      <c r="C109" s="1" t="s">
        <v>694</v>
      </c>
      <c r="D109" s="9" t="str">
        <f>ROUND((MIN('[1]Citoquinas todos los datos'!P40,'[1]Citoquinas todos los datos'!P44,'[1]Citoquinas todos los datos'!P48)+MEDIAN('[1]Citoquinas todos los datos'!P40,'[1]Citoquinas todos los datos'!P44,'[1]Citoquinas todos los datos'!P48))/2,3)&amp;" - "&amp;ROUND((MEDIAN('[1]Citoquinas todos los datos'!P40,'[1]Citoquinas todos los datos'!P44,'[1]Citoquinas todos los datos'!P48)+MAX('[1]Citoquinas todos los datos'!P40,'[1]Citoquinas todos los datos'!P44,'[1]Citoquinas todos los datos'!P48))/2,3)</f>
        <v>501,535 - 506</v>
      </c>
      <c r="E109" s="39">
        <v>0.99030855466499035</v>
      </c>
      <c r="F109" s="40">
        <v>-1.4049992999020492E-2</v>
      </c>
      <c r="G109" s="40">
        <v>-0.96914453350096519</v>
      </c>
      <c r="H109" s="40">
        <v>-4.9333333333333371</v>
      </c>
      <c r="I109" s="40">
        <v>-4.8693180322691067E-3</v>
      </c>
      <c r="J109" s="1"/>
      <c r="K109" s="1" t="s">
        <v>15</v>
      </c>
      <c r="L109" s="1" t="s">
        <v>695</v>
      </c>
      <c r="M109" s="9" t="str">
        <f>ROUND((MIN('[1]Citoquinas todos los datos'!P38,'[1]Citoquinas todos los datos'!P42,'[1]Citoquinas todos los datos'!P46)+MEDIAN('[1]Citoquinas todos los datos'!P38,'[1]Citoquinas todos los datos'!P42,'[1]Citoquinas todos los datos'!P46))/2,3)&amp;" - "&amp;ROUND((MEDIAN('[1]Citoquinas todos los datos'!P38,'[1]Citoquinas todos los datos'!P42,'[1]Citoquinas todos los datos'!P46)+MAX('[1]Citoquinas todos los datos'!P38,'[1]Citoquinas todos los datos'!P42,'[1]Citoquinas todos los datos'!P46))/2,3)</f>
        <v>506,1 - 511,205</v>
      </c>
      <c r="N109" s="39" t="s">
        <v>731</v>
      </c>
      <c r="O109" s="39" t="s">
        <v>731</v>
      </c>
      <c r="P109" s="39" t="s">
        <v>731</v>
      </c>
      <c r="Q109" s="39" t="s">
        <v>731</v>
      </c>
      <c r="R109" s="39" t="s">
        <v>731</v>
      </c>
      <c r="S109" s="9"/>
      <c r="T109" s="1" t="s">
        <v>72</v>
      </c>
      <c r="U109" s="1" t="s">
        <v>696</v>
      </c>
      <c r="V109" s="9" t="str">
        <f>ROUND('[1]Citoquinas todos los datos'!P43,3)&amp;" - "&amp;ROUND('[1]Citoquinas todos los datos'!P43,3)</f>
        <v>482,62 - 482,62</v>
      </c>
      <c r="W109" s="39" t="s">
        <v>731</v>
      </c>
      <c r="X109" s="39" t="s">
        <v>731</v>
      </c>
      <c r="Y109" s="39" t="s">
        <v>731</v>
      </c>
      <c r="Z109" s="39" t="s">
        <v>731</v>
      </c>
      <c r="AA109" s="39" t="s">
        <v>731</v>
      </c>
      <c r="AB109" s="9"/>
      <c r="AC109" s="1" t="s">
        <v>15</v>
      </c>
      <c r="AD109" s="1" t="s">
        <v>697</v>
      </c>
      <c r="AE109" s="9" t="str">
        <f>ROUND((MIN('[1]Citoquinas todos los datos'!P41,'[1]Citoquinas todos los datos'!P45,'[1]Citoquinas todos los datos'!P49)+MEDIAN('[1]Citoquinas todos los datos'!P41,'[1]Citoquinas todos los datos'!P45,'[1]Citoquinas todos los datos'!P49))/2,3)&amp;" - "&amp;ROUND((MEDIAN('[1]Citoquinas todos los datos'!P41,'[1]Citoquinas todos los datos'!P45,'[1]Citoquinas todos los datos'!P49)+MAX('[1]Citoquinas todos los datos'!P41,'[1]Citoquinas todos los datos'!P45,'[1]Citoquinas todos los datos'!P49))/2,3)</f>
        <v>490,51 - 496,82</v>
      </c>
      <c r="AF109" s="39" t="s">
        <v>731</v>
      </c>
      <c r="AG109" s="46" t="s">
        <v>731</v>
      </c>
      <c r="AH109" s="46" t="s">
        <v>731</v>
      </c>
      <c r="AI109" s="46" t="s">
        <v>731</v>
      </c>
      <c r="AJ109" s="46" t="s">
        <v>731</v>
      </c>
    </row>
    <row r="110" spans="1:36" x14ac:dyDescent="0.25">
      <c r="A110" s="3" t="s">
        <v>59</v>
      </c>
      <c r="B110" s="1" t="s">
        <v>72</v>
      </c>
      <c r="C110" s="1" t="s">
        <v>698</v>
      </c>
      <c r="D110" s="9" t="str">
        <f>ROUND('[1]Citoquinas todos los datos'!P63,3)&amp;" - "&amp;ROUND('[1]Citoquinas todos los datos'!P63,3)</f>
        <v>501,69 - 501,69</v>
      </c>
      <c r="E110" s="39" t="s">
        <v>731</v>
      </c>
      <c r="F110" s="40" t="s">
        <v>731</v>
      </c>
      <c r="G110" s="40" t="s">
        <v>731</v>
      </c>
      <c r="H110" s="40" t="s">
        <v>731</v>
      </c>
      <c r="I110" s="40" t="s">
        <v>731</v>
      </c>
      <c r="J110" s="1"/>
      <c r="K110" s="1" t="s">
        <v>17</v>
      </c>
      <c r="L110" s="1" t="s">
        <v>699</v>
      </c>
      <c r="M110" s="9" t="str">
        <f>ROUND((3*MIN('[1]Citoquinas todos los datos'!P62,'[1]Citoquinas todos los datos'!P65)+MAX('[1]Citoquinas todos los datos'!P62,'[1]Citoquinas todos los datos'!P65))/4,3)&amp;" - "&amp;ROUND((MIN('[1]Citoquinas todos los datos'!P62,'[1]Citoquinas todos los datos'!P65)+3*MAX('[1]Citoquinas todos los datos'!P62,'[1]Citoquinas todos los datos'!P65))/4,3)</f>
        <v>485,13 - 488,53</v>
      </c>
      <c r="N110" s="39" t="s">
        <v>731</v>
      </c>
      <c r="O110" s="39" t="s">
        <v>731</v>
      </c>
      <c r="P110" s="39" t="s">
        <v>731</v>
      </c>
      <c r="Q110" s="39" t="s">
        <v>731</v>
      </c>
      <c r="R110" s="39" t="s">
        <v>731</v>
      </c>
      <c r="S110" s="9"/>
      <c r="T110" s="1" t="s">
        <v>17</v>
      </c>
      <c r="U110" s="1" t="s">
        <v>699</v>
      </c>
      <c r="V110" s="9" t="str">
        <f>ROUND((3*MIN('[1]Citoquinas todos los datos'!P62,'[1]Citoquinas todos los datos'!P65)+MAX('[1]Citoquinas todos los datos'!P62,'[1]Citoquinas todos los datos'!P65))/4,3)&amp;" - "&amp;ROUND((MIN('[1]Citoquinas todos los datos'!P62,'[1]Citoquinas todos los datos'!P65)+3*MAX('[1]Citoquinas todos los datos'!P62,'[1]Citoquinas todos los datos'!P65))/4,3)</f>
        <v>485,13 - 488,53</v>
      </c>
      <c r="W110" s="39" t="s">
        <v>731</v>
      </c>
      <c r="X110" s="39" t="s">
        <v>731</v>
      </c>
      <c r="Y110" s="39" t="s">
        <v>731</v>
      </c>
      <c r="Z110" s="39" t="s">
        <v>731</v>
      </c>
      <c r="AA110" s="39" t="s">
        <v>731</v>
      </c>
      <c r="AB110" s="9"/>
      <c r="AC110" s="1" t="s">
        <v>17</v>
      </c>
      <c r="AD110" s="1" t="s">
        <v>700</v>
      </c>
      <c r="AE110" s="9" t="str">
        <f>ROUND((3*MIN('[1]Citoquinas todos los datos'!P64,'[1]Citoquinas todos los datos'!P67)+MAX('[1]Citoquinas todos los datos'!P64,'[1]Citoquinas todos los datos'!P67))/4,3)&amp;" - "&amp;ROUND((MIN('[1]Citoquinas todos los datos'!P64,'[1]Citoquinas todos los datos'!P67)+3*MAX('[1]Citoquinas todos los datos'!P64,'[1]Citoquinas todos los datos'!P67))/4,3)</f>
        <v>503,69 - 504,15</v>
      </c>
      <c r="AF110" s="39" t="s">
        <v>731</v>
      </c>
      <c r="AG110" s="46" t="s">
        <v>731</v>
      </c>
      <c r="AH110" s="46" t="s">
        <v>731</v>
      </c>
      <c r="AI110" s="46" t="s">
        <v>731</v>
      </c>
      <c r="AJ110" s="46" t="s">
        <v>731</v>
      </c>
    </row>
    <row r="111" spans="1:36" x14ac:dyDescent="0.25">
      <c r="A111" s="3" t="s">
        <v>64</v>
      </c>
      <c r="B111" s="1" t="s">
        <v>17</v>
      </c>
      <c r="C111" s="1" t="s">
        <v>701</v>
      </c>
      <c r="D111" s="9" t="str">
        <f>ROUND((3*MIN('[1]Citoquinas todos los datos'!P69,'[1]Citoquinas todos los datos'!P72)+MAX('[1]Citoquinas todos los datos'!P69,'[1]Citoquinas todos los datos'!P72))/4,3)&amp;" - "&amp;ROUND((MIN('[1]Citoquinas todos los datos'!P69,'[1]Citoquinas todos los datos'!P72)+3*MAX('[1]Citoquinas todos los datos'!P69,'[1]Citoquinas todos los datos'!P72))/4,3)</f>
        <v>489,965 - 496,775</v>
      </c>
      <c r="E111" s="39">
        <v>0.96921656451359428</v>
      </c>
      <c r="F111" s="40">
        <v>-4.510903333231249E-2</v>
      </c>
      <c r="G111" s="40">
        <v>-3.0783435486405719</v>
      </c>
      <c r="H111" s="40">
        <v>-15.669999999999959</v>
      </c>
      <c r="I111" s="40">
        <v>-1.5632326094113146E-2</v>
      </c>
      <c r="J111" s="1"/>
      <c r="K111" s="1" t="s">
        <v>72</v>
      </c>
      <c r="L111" s="1" t="s">
        <v>702</v>
      </c>
      <c r="M111" s="9" t="str">
        <f>ROUND('[1]Citoquinas todos los datos'!P68,3)&amp;" - "&amp;ROUND('[1]Citoquinas todos los datos'!P68,3)</f>
        <v>499,22 - 499,22</v>
      </c>
      <c r="N111" s="39" t="s">
        <v>731</v>
      </c>
      <c r="O111" s="39" t="s">
        <v>731</v>
      </c>
      <c r="P111" s="39" t="s">
        <v>731</v>
      </c>
      <c r="Q111" s="39" t="s">
        <v>731</v>
      </c>
      <c r="R111" s="39" t="s">
        <v>731</v>
      </c>
      <c r="S111" s="9"/>
      <c r="T111" s="1" t="s">
        <v>72</v>
      </c>
      <c r="U111" s="1" t="s">
        <v>702</v>
      </c>
      <c r="V111" s="9" t="str">
        <f>ROUND('[1]Citoquinas todos los datos'!P68,3)&amp;" - "&amp;ROUND('[1]Citoquinas todos los datos'!P68,3)</f>
        <v>499,22 - 499,22</v>
      </c>
      <c r="W111" s="39" t="s">
        <v>731</v>
      </c>
      <c r="X111" s="39" t="s">
        <v>731</v>
      </c>
      <c r="Y111" s="39" t="s">
        <v>731</v>
      </c>
      <c r="Z111" s="39" t="s">
        <v>731</v>
      </c>
      <c r="AA111" s="39" t="s">
        <v>731</v>
      </c>
      <c r="AB111" s="9"/>
      <c r="AC111" s="1" t="s">
        <v>17</v>
      </c>
      <c r="AD111" s="1" t="s">
        <v>703</v>
      </c>
      <c r="AE111" s="9" t="str">
        <f>ROUND((3*MIN('[1]Citoquinas todos los datos'!P70,'[1]Citoquinas todos los datos'!P73)+MAX('[1]Citoquinas todos los datos'!P70,'[1]Citoquinas todos los datos'!P73))/4,3)&amp;" - "&amp;ROUND((MIN('[1]Citoquinas todos los datos'!P70,'[1]Citoquinas todos los datos'!P73)+3*MAX('[1]Citoquinas todos los datos'!P70,'[1]Citoquinas todos los datos'!P73))/4,3)</f>
        <v>504,713 - 505,058</v>
      </c>
      <c r="AF111" s="39" t="s">
        <v>731</v>
      </c>
      <c r="AG111" s="46" t="s">
        <v>731</v>
      </c>
      <c r="AH111" s="46" t="s">
        <v>731</v>
      </c>
      <c r="AI111" s="46" t="s">
        <v>731</v>
      </c>
      <c r="AJ111" s="46" t="s">
        <v>731</v>
      </c>
    </row>
    <row r="112" spans="1:36" x14ac:dyDescent="0.25">
      <c r="A112" s="29" t="s">
        <v>704</v>
      </c>
      <c r="B112" s="1"/>
      <c r="C112" s="1"/>
      <c r="D112" s="9"/>
      <c r="E112" s="9"/>
      <c r="F112" s="1"/>
      <c r="J112" s="1"/>
      <c r="K112" s="1"/>
      <c r="L112" s="1"/>
      <c r="M112" s="9"/>
      <c r="N112" s="9"/>
      <c r="O112" s="9"/>
      <c r="S112" s="9"/>
      <c r="T112" s="1"/>
      <c r="U112" s="1"/>
      <c r="V112" s="9"/>
      <c r="W112" s="9"/>
      <c r="X112" s="9"/>
      <c r="AB112" s="9"/>
      <c r="AC112" s="1"/>
      <c r="AD112" s="1"/>
      <c r="AE112" s="9"/>
      <c r="AF112" s="9"/>
    </row>
    <row r="113" spans="1:36" x14ac:dyDescent="0.25">
      <c r="A113" s="3" t="s">
        <v>14</v>
      </c>
      <c r="B113" s="1" t="s">
        <v>72</v>
      </c>
      <c r="C113" s="1" t="s">
        <v>705</v>
      </c>
      <c r="D113" s="9" t="str">
        <f>ROUND('[1]Citoquinas todos los datos'!Q56,3)&amp;" - "&amp;ROUND('[1]Citoquinas todos los datos'!Q56,3)</f>
        <v>963,644 - 963,644</v>
      </c>
      <c r="E113" s="39">
        <v>1</v>
      </c>
      <c r="F113" s="40">
        <v>0</v>
      </c>
      <c r="G113" s="40">
        <v>0</v>
      </c>
      <c r="H113" s="40">
        <v>0</v>
      </c>
      <c r="I113" s="40">
        <v>0</v>
      </c>
      <c r="J113" s="1"/>
      <c r="K113" s="1" t="s">
        <v>72</v>
      </c>
      <c r="L113" s="1" t="s">
        <v>706</v>
      </c>
      <c r="M113" s="9" t="str">
        <f>ROUND('[1]Citoquinas todos los datos'!Q50,3)&amp;" - "&amp;ROUND('[1]Citoquinas todos los datos'!Q50,3)</f>
        <v>830,993 - 830,993</v>
      </c>
      <c r="N113" s="39">
        <v>1</v>
      </c>
      <c r="O113" s="39">
        <v>0</v>
      </c>
      <c r="P113" s="39">
        <v>0</v>
      </c>
      <c r="Q113" s="39">
        <v>0</v>
      </c>
      <c r="R113" s="39">
        <v>0</v>
      </c>
      <c r="S113" s="9"/>
      <c r="T113" s="1" t="s">
        <v>72</v>
      </c>
      <c r="U113" s="1" t="s">
        <v>707</v>
      </c>
      <c r="V113" s="9" t="str">
        <f>ROUND('[1]Citoquinas todos los datos'!Q55,3)&amp;" - "&amp;ROUND('[1]Citoquinas todos los datos'!Q55,3)</f>
        <v>979,119 - 979,119</v>
      </c>
      <c r="W113" s="39">
        <v>1</v>
      </c>
      <c r="X113" s="39">
        <v>0</v>
      </c>
      <c r="Y113" s="39">
        <v>0</v>
      </c>
      <c r="Z113" s="39">
        <v>0</v>
      </c>
      <c r="AA113" s="39">
        <v>0</v>
      </c>
      <c r="AB113" s="9"/>
      <c r="AC113" s="1" t="s">
        <v>63</v>
      </c>
      <c r="AD113" s="1" t="s">
        <v>63</v>
      </c>
      <c r="AE113" s="9" t="s">
        <v>63</v>
      </c>
      <c r="AF113" s="39" t="s">
        <v>731</v>
      </c>
      <c r="AG113" s="46" t="s">
        <v>731</v>
      </c>
      <c r="AH113" s="46" t="s">
        <v>731</v>
      </c>
      <c r="AI113" s="46" t="s">
        <v>731</v>
      </c>
      <c r="AJ113" s="46" t="s">
        <v>731</v>
      </c>
    </row>
    <row r="114" spans="1:36" x14ac:dyDescent="0.25">
      <c r="A114" s="3" t="s">
        <v>25</v>
      </c>
      <c r="B114" s="1" t="s">
        <v>15</v>
      </c>
      <c r="C114" s="1" t="s">
        <v>708</v>
      </c>
      <c r="D114" s="9" t="str">
        <f>ROUND((MIN('[1]Citoquinas todos los datos'!Q76,'[1]Citoquinas todos los datos'!Q80,'[1]Citoquinas todos los datos'!Q84)+MEDIAN('[1]Citoquinas todos los datos'!Q76,'[1]Citoquinas todos los datos'!Q80,'[1]Citoquinas todos los datos'!Q84))/2,3)&amp;" - "&amp;ROUND((MEDIAN('[1]Citoquinas todos los datos'!Q76,'[1]Citoquinas todos los datos'!Q80,'[1]Citoquinas todos los datos'!Q84)+MAX('[1]Citoquinas todos los datos'!Q76,'[1]Citoquinas todos los datos'!Q80,'[1]Citoquinas todos los datos'!Q84))/2,3)</f>
        <v>927,893 - 959,778</v>
      </c>
      <c r="E114" s="39" t="s">
        <v>731</v>
      </c>
      <c r="F114" s="40" t="s">
        <v>731</v>
      </c>
      <c r="G114" s="40" t="s">
        <v>731</v>
      </c>
      <c r="H114" s="40" t="s">
        <v>731</v>
      </c>
      <c r="I114" s="40" t="s">
        <v>731</v>
      </c>
      <c r="J114" s="1"/>
      <c r="K114" s="1" t="s">
        <v>72</v>
      </c>
      <c r="L114" s="1" t="s">
        <v>709</v>
      </c>
      <c r="M114" s="9" t="str">
        <f>ROUND('[1]Citoquinas todos los datos'!Q74,3)&amp;" - "&amp;ROUND('[1]Citoquinas todos los datos'!Q74,3)</f>
        <v>921,572 - 921,572</v>
      </c>
      <c r="N114" s="39" t="s">
        <v>731</v>
      </c>
      <c r="O114" s="39" t="s">
        <v>731</v>
      </c>
      <c r="P114" s="39" t="s">
        <v>731</v>
      </c>
      <c r="Q114" s="39" t="s">
        <v>731</v>
      </c>
      <c r="R114" s="39" t="s">
        <v>731</v>
      </c>
      <c r="S114" s="9"/>
      <c r="T114" s="1" t="s">
        <v>72</v>
      </c>
      <c r="U114" s="1" t="s">
        <v>710</v>
      </c>
      <c r="V114" s="9" t="str">
        <f>ROUND('[1]Citoquinas todos los datos'!Q83,3)&amp;" - "&amp;ROUND('[1]Citoquinas todos los datos'!Q83,3)</f>
        <v>957,277 - 957,277</v>
      </c>
      <c r="W114" s="39" t="s">
        <v>731</v>
      </c>
      <c r="X114" s="39" t="s">
        <v>731</v>
      </c>
      <c r="Y114" s="39" t="s">
        <v>731</v>
      </c>
      <c r="Z114" s="39" t="s">
        <v>731</v>
      </c>
      <c r="AA114" s="39" t="s">
        <v>731</v>
      </c>
      <c r="AB114" s="9"/>
      <c r="AC114" s="1" t="s">
        <v>72</v>
      </c>
      <c r="AD114" s="1" t="s">
        <v>711</v>
      </c>
      <c r="AE114" s="9" t="str">
        <f>ROUND('[1]Citoquinas todos los datos'!Q85,3)&amp;" - "&amp;ROUND('[1]Citoquinas todos los datos'!Q85,3)</f>
        <v>893,342 - 893,342</v>
      </c>
      <c r="AF114" s="39" t="s">
        <v>731</v>
      </c>
      <c r="AG114" s="46" t="s">
        <v>731</v>
      </c>
      <c r="AH114" s="46" t="s">
        <v>731</v>
      </c>
      <c r="AI114" s="46" t="s">
        <v>731</v>
      </c>
      <c r="AJ114" s="46" t="s">
        <v>731</v>
      </c>
    </row>
    <row r="115" spans="1:36" x14ac:dyDescent="0.25">
      <c r="A115" s="3" t="s">
        <v>35</v>
      </c>
      <c r="B115" s="1" t="s">
        <v>72</v>
      </c>
      <c r="C115" s="1" t="s">
        <v>712</v>
      </c>
      <c r="D115" s="9" t="str">
        <f>ROUND('[1]Citoquinas todos los datos'!Q4,3)&amp;" - "&amp;ROUND('[1]Citoquinas todos los datos'!Q4,3)</f>
        <v>996,86 - 996,86</v>
      </c>
      <c r="E115" s="39" t="s">
        <v>731</v>
      </c>
      <c r="F115" s="40" t="s">
        <v>731</v>
      </c>
      <c r="G115" s="40" t="s">
        <v>731</v>
      </c>
      <c r="H115" s="40" t="s">
        <v>731</v>
      </c>
      <c r="I115" s="40" t="s">
        <v>731</v>
      </c>
      <c r="J115" s="1"/>
      <c r="K115" s="1" t="s">
        <v>72</v>
      </c>
      <c r="L115" s="1" t="s">
        <v>713</v>
      </c>
      <c r="M115" s="9" t="str">
        <f>ROUND('[1]Citoquinas todos los datos'!Q6,3)&amp;" - "&amp;ROUND('[1]Citoquinas todos los datos'!Q6,3)</f>
        <v>886,397 - 886,397</v>
      </c>
      <c r="N115" s="39" t="s">
        <v>731</v>
      </c>
      <c r="O115" s="39" t="s">
        <v>731</v>
      </c>
      <c r="P115" s="39" t="s">
        <v>731</v>
      </c>
      <c r="Q115" s="39" t="s">
        <v>731</v>
      </c>
      <c r="R115" s="39" t="s">
        <v>731</v>
      </c>
      <c r="S115" s="9"/>
      <c r="T115" s="1" t="s">
        <v>15</v>
      </c>
      <c r="U115" s="1" t="s">
        <v>714</v>
      </c>
      <c r="V115" s="9" t="str">
        <f>ROUND((MIN('[1]Citoquinas todos los datos'!Q3,'[1]Citoquinas todos los datos'!Q7,'[1]Citoquinas todos los datos'!Q11)+MEDIAN('[1]Citoquinas todos los datos'!Q3,'[1]Citoquinas todos los datos'!Q7,'[1]Citoquinas todos los datos'!Q11))/2,3)&amp;" - "&amp;ROUND((MEDIAN('[1]Citoquinas todos los datos'!Q3,'[1]Citoquinas todos los datos'!Q7,'[1]Citoquinas todos los datos'!Q11)+MAX('[1]Citoquinas todos los datos'!Q3,'[1]Citoquinas todos los datos'!Q7,'[1]Citoquinas todos los datos'!Q11))/2,3)</f>
        <v>891,382 - 955,421</v>
      </c>
      <c r="W115" s="39" t="s">
        <v>731</v>
      </c>
      <c r="X115" s="39" t="s">
        <v>731</v>
      </c>
      <c r="Y115" s="39" t="s">
        <v>731</v>
      </c>
      <c r="Z115" s="39" t="s">
        <v>731</v>
      </c>
      <c r="AA115" s="39" t="s">
        <v>731</v>
      </c>
      <c r="AB115" s="9"/>
      <c r="AC115" s="1" t="s">
        <v>15</v>
      </c>
      <c r="AD115" s="1" t="s">
        <v>715</v>
      </c>
      <c r="AE115" s="9" t="str">
        <f>ROUND((MIN('[1]Citoquinas todos los datos'!Q5,'[1]Citoquinas todos los datos'!Q9,'[1]Citoquinas todos los datos'!Q13)+MEDIAN('[1]Citoquinas todos los datos'!Q5,'[1]Citoquinas todos los datos'!Q9,'[1]Citoquinas todos los datos'!Q13))/2,3)&amp;" - "&amp;ROUND((MEDIAN('[1]Citoquinas todos los datos'!Q5,'[1]Citoquinas todos los datos'!Q9,'[1]Citoquinas todos los datos'!Q13)+MAX('[1]Citoquinas todos los datos'!Q5,'[1]Citoquinas todos los datos'!Q9,'[1]Citoquinas todos los datos'!Q13))/2,3)</f>
        <v>883,736 - 947,953</v>
      </c>
      <c r="AF115" s="39" t="s">
        <v>731</v>
      </c>
      <c r="AG115" s="46" t="s">
        <v>731</v>
      </c>
      <c r="AH115" s="46" t="s">
        <v>731</v>
      </c>
      <c r="AI115" s="46" t="s">
        <v>731</v>
      </c>
      <c r="AJ115" s="46" t="s">
        <v>731</v>
      </c>
    </row>
    <row r="116" spans="1:36" x14ac:dyDescent="0.25">
      <c r="A116" s="3" t="s">
        <v>42</v>
      </c>
      <c r="B116" s="1" t="s">
        <v>17</v>
      </c>
      <c r="C116" s="1" t="s">
        <v>716</v>
      </c>
      <c r="D116" s="9" t="str">
        <f>ROUND((3*MIN('[1]Citoquinas todos los datos'!Q16,'[1]Citoquinas todos los datos'!Q20)+MAX('[1]Citoquinas todos los datos'!Q16,'[1]Citoquinas todos los datos'!Q20))/4,3)&amp;" - "&amp;ROUND((MIN('[1]Citoquinas todos los datos'!Q16,'[1]Citoquinas todos los datos'!Q20)+3*MAX('[1]Citoquinas todos los datos'!Q16,'[1]Citoquinas todos los datos'!Q20))/4,3)</f>
        <v>876,92 - 947,921</v>
      </c>
      <c r="E116" s="39" t="s">
        <v>731</v>
      </c>
      <c r="F116" s="40" t="s">
        <v>731</v>
      </c>
      <c r="G116" s="40" t="s">
        <v>731</v>
      </c>
      <c r="H116" s="40" t="s">
        <v>731</v>
      </c>
      <c r="I116" s="40" t="s">
        <v>731</v>
      </c>
      <c r="J116" s="1"/>
      <c r="K116" s="1" t="s">
        <v>72</v>
      </c>
      <c r="L116" s="1" t="s">
        <v>717</v>
      </c>
      <c r="M116" s="9" t="str">
        <f>ROUND('[1]Citoquinas todos los datos'!Q22,3)&amp;" - "&amp;ROUND('[1]Citoquinas todos los datos'!Q22,3)</f>
        <v>897,946 - 897,946</v>
      </c>
      <c r="N116" s="39" t="s">
        <v>731</v>
      </c>
      <c r="O116" s="39" t="s">
        <v>731</v>
      </c>
      <c r="P116" s="39" t="s">
        <v>731</v>
      </c>
      <c r="Q116" s="39" t="s">
        <v>731</v>
      </c>
      <c r="R116" s="39" t="s">
        <v>731</v>
      </c>
      <c r="S116" s="9"/>
      <c r="T116" s="1" t="s">
        <v>17</v>
      </c>
      <c r="U116" s="1" t="s">
        <v>718</v>
      </c>
      <c r="V116" s="9" t="str">
        <f>ROUND((3*MIN('[1]Citoquinas todos los datos'!Q15,'[1]Citoquinas todos los datos'!Q19)+MAX('[1]Citoquinas todos los datos'!Q15,'[1]Citoquinas todos los datos'!Q19))/4,3)&amp;" - "&amp;ROUND((MIN('[1]Citoquinas todos los datos'!Q15,'[1]Citoquinas todos los datos'!Q19)+3*MAX('[1]Citoquinas todos los datos'!Q15,'[1]Citoquinas todos los datos'!Q19))/4,3)</f>
        <v>885,996 - 933,115</v>
      </c>
      <c r="W116" s="39" t="s">
        <v>731</v>
      </c>
      <c r="X116" s="39" t="s">
        <v>731</v>
      </c>
      <c r="Y116" s="39" t="s">
        <v>731</v>
      </c>
      <c r="Z116" s="39" t="s">
        <v>731</v>
      </c>
      <c r="AA116" s="39" t="s">
        <v>731</v>
      </c>
      <c r="AB116" s="9"/>
      <c r="AC116" s="1" t="s">
        <v>63</v>
      </c>
      <c r="AD116" s="1" t="s">
        <v>63</v>
      </c>
      <c r="AE116" s="9" t="s">
        <v>63</v>
      </c>
      <c r="AF116" s="39" t="s">
        <v>731</v>
      </c>
      <c r="AG116" s="46" t="s">
        <v>731</v>
      </c>
      <c r="AH116" s="46" t="s">
        <v>731</v>
      </c>
      <c r="AI116" s="46" t="s">
        <v>731</v>
      </c>
      <c r="AJ116" s="46" t="s">
        <v>731</v>
      </c>
    </row>
    <row r="117" spans="1:36" x14ac:dyDescent="0.25">
      <c r="A117" s="3" t="s">
        <v>48</v>
      </c>
      <c r="B117" s="1" t="s">
        <v>72</v>
      </c>
      <c r="C117" s="1" t="s">
        <v>719</v>
      </c>
      <c r="D117" s="9" t="str">
        <f>ROUND('[1]Citoquinas todos los datos'!Q36,3)&amp;" - "&amp;ROUND('[1]Citoquinas todos los datos'!Q36,3)</f>
        <v>962,351 - 962,351</v>
      </c>
      <c r="E117" s="39" t="s">
        <v>731</v>
      </c>
      <c r="F117" s="40" t="s">
        <v>731</v>
      </c>
      <c r="G117" s="40" t="s">
        <v>731</v>
      </c>
      <c r="H117" s="40" t="s">
        <v>731</v>
      </c>
      <c r="I117" s="40" t="s">
        <v>731</v>
      </c>
      <c r="J117" s="1"/>
      <c r="K117" s="1" t="s">
        <v>15</v>
      </c>
      <c r="L117" s="1" t="s">
        <v>720</v>
      </c>
      <c r="M117" s="9" t="str">
        <f>ROUND((MIN('[1]Citoquinas todos los datos'!Q26,'[1]Citoquinas todos los datos'!Q30,'[1]Citoquinas todos los datos'!Q34)+MEDIAN('[1]Citoquinas todos los datos'!Q26,'[1]Citoquinas todos los datos'!Q30,'[1]Citoquinas todos los datos'!Q34))/2,3)&amp;" - "&amp;ROUND((MEDIAN('[1]Citoquinas todos los datos'!Q26,'[1]Citoquinas todos los datos'!Q30,'[1]Citoquinas todos los datos'!Q34)+MAX('[1]Citoquinas todos los datos'!Q26,'[1]Citoquinas todos los datos'!Q30,'[1]Citoquinas todos los datos'!Q34))/2,3)</f>
        <v>817,487 - 871,651</v>
      </c>
      <c r="N117" s="39" t="s">
        <v>731</v>
      </c>
      <c r="O117" s="39" t="s">
        <v>731</v>
      </c>
      <c r="P117" s="39" t="s">
        <v>731</v>
      </c>
      <c r="Q117" s="39" t="s">
        <v>731</v>
      </c>
      <c r="R117" s="39" t="s">
        <v>731</v>
      </c>
      <c r="S117" s="9"/>
      <c r="T117" s="1" t="s">
        <v>72</v>
      </c>
      <c r="U117" s="1" t="s">
        <v>721</v>
      </c>
      <c r="V117" s="9" t="str">
        <f>ROUND('[1]Citoquinas todos los datos'!Q31,3)&amp;" - "&amp;ROUND('[1]Citoquinas todos los datos'!Q31,3)</f>
        <v>880,045 - 880,045</v>
      </c>
      <c r="W117" s="39" t="s">
        <v>731</v>
      </c>
      <c r="X117" s="39" t="s">
        <v>731</v>
      </c>
      <c r="Y117" s="39" t="s">
        <v>731</v>
      </c>
      <c r="Z117" s="39" t="s">
        <v>731</v>
      </c>
      <c r="AA117" s="39" t="s">
        <v>731</v>
      </c>
      <c r="AB117" s="9"/>
      <c r="AC117" s="1" t="s">
        <v>72</v>
      </c>
      <c r="AD117" s="1" t="s">
        <v>722</v>
      </c>
      <c r="AE117" s="9" t="str">
        <f>ROUND('[1]Citoquinas todos los datos'!Q33,3)&amp;" - "&amp;ROUND('[1]Citoquinas todos los datos'!Q33,3)</f>
        <v>955,116 - 955,116</v>
      </c>
      <c r="AF117" s="39" t="s">
        <v>731</v>
      </c>
      <c r="AG117" s="46" t="s">
        <v>731</v>
      </c>
      <c r="AH117" s="46" t="s">
        <v>731</v>
      </c>
      <c r="AI117" s="46" t="s">
        <v>731</v>
      </c>
      <c r="AJ117" s="46" t="s">
        <v>731</v>
      </c>
    </row>
    <row r="118" spans="1:36" x14ac:dyDescent="0.25">
      <c r="A118" s="3" t="s">
        <v>54</v>
      </c>
      <c r="B118" s="1" t="s">
        <v>17</v>
      </c>
      <c r="C118" s="1" t="s">
        <v>723</v>
      </c>
      <c r="D118" s="9" t="str">
        <f>ROUND((3*MIN('[1]Citoquinas todos los datos'!Q44,'[1]Citoquinas todos los datos'!Q48)+MAX('[1]Citoquinas todos los datos'!Q44,'[1]Citoquinas todos los datos'!Q48))/4,3)&amp;" - "&amp;ROUND((MIN('[1]Citoquinas todos los datos'!Q44,'[1]Citoquinas todos los datos'!Q48)+3*MAX('[1]Citoquinas todos los datos'!Q44,'[1]Citoquinas todos los datos'!Q48))/4,3)</f>
        <v>917,3 - 928,307</v>
      </c>
      <c r="E118" s="39" t="s">
        <v>731</v>
      </c>
      <c r="F118" s="40" t="s">
        <v>731</v>
      </c>
      <c r="G118" s="40" t="s">
        <v>731</v>
      </c>
      <c r="H118" s="40" t="s">
        <v>731</v>
      </c>
      <c r="I118" s="40" t="s">
        <v>731</v>
      </c>
      <c r="J118" s="1"/>
      <c r="K118" s="1" t="s">
        <v>15</v>
      </c>
      <c r="L118" s="1" t="s">
        <v>724</v>
      </c>
      <c r="M118" s="9" t="str">
        <f>ROUND((MIN('[1]Citoquinas todos los datos'!Q38,'[1]Citoquinas todos los datos'!Q42,'[1]Citoquinas todos los datos'!Q46)+MEDIAN('[1]Citoquinas todos los datos'!Q38,'[1]Citoquinas todos los datos'!Q42,'[1]Citoquinas todos los datos'!Q46))/2,3)&amp;" - "&amp;ROUND((MEDIAN('[1]Citoquinas todos los datos'!Q38,'[1]Citoquinas todos los datos'!Q42,'[1]Citoquinas todos los datos'!Q46)+MAX('[1]Citoquinas todos los datos'!Q38,'[1]Citoquinas todos los datos'!Q42,'[1]Citoquinas todos los datos'!Q46))/2,3)</f>
        <v>922,796 - 964,921</v>
      </c>
      <c r="N118" s="39" t="s">
        <v>731</v>
      </c>
      <c r="O118" s="39" t="s">
        <v>731</v>
      </c>
      <c r="P118" s="39" t="s">
        <v>731</v>
      </c>
      <c r="Q118" s="39" t="s">
        <v>731</v>
      </c>
      <c r="R118" s="39" t="s">
        <v>731</v>
      </c>
      <c r="S118" s="9"/>
      <c r="T118" s="1" t="s">
        <v>63</v>
      </c>
      <c r="U118" s="1" t="s">
        <v>63</v>
      </c>
      <c r="V118" s="9" t="s">
        <v>63</v>
      </c>
      <c r="W118" s="39" t="s">
        <v>731</v>
      </c>
      <c r="X118" s="39" t="s">
        <v>731</v>
      </c>
      <c r="Y118" s="39" t="s">
        <v>731</v>
      </c>
      <c r="Z118" s="39" t="s">
        <v>731</v>
      </c>
      <c r="AA118" s="39" t="s">
        <v>731</v>
      </c>
      <c r="AB118" s="9"/>
      <c r="AC118" s="1" t="s">
        <v>72</v>
      </c>
      <c r="AD118" s="1" t="s">
        <v>725</v>
      </c>
      <c r="AE118" s="9" t="str">
        <f>ROUND('[1]Citoquinas todos los datos'!Q45,3)&amp;" - "&amp;ROUND('[1]Citoquinas todos los datos'!Q45,3)</f>
        <v>903,157 - 903,157</v>
      </c>
      <c r="AF118" s="39" t="s">
        <v>731</v>
      </c>
      <c r="AG118" s="46" t="s">
        <v>731</v>
      </c>
      <c r="AH118" s="46" t="s">
        <v>731</v>
      </c>
      <c r="AI118" s="46" t="s">
        <v>731</v>
      </c>
      <c r="AJ118" s="46" t="s">
        <v>731</v>
      </c>
    </row>
    <row r="119" spans="1:36" x14ac:dyDescent="0.25">
      <c r="A119" s="3" t="s">
        <v>59</v>
      </c>
      <c r="B119" s="1" t="s">
        <v>63</v>
      </c>
      <c r="C119" s="1" t="s">
        <v>63</v>
      </c>
      <c r="D119" s="9" t="s">
        <v>63</v>
      </c>
      <c r="E119" s="39" t="s">
        <v>731</v>
      </c>
      <c r="F119" s="40" t="s">
        <v>731</v>
      </c>
      <c r="G119" s="40" t="s">
        <v>731</v>
      </c>
      <c r="H119" s="40" t="s">
        <v>731</v>
      </c>
      <c r="I119" s="40" t="s">
        <v>731</v>
      </c>
      <c r="J119" s="1"/>
      <c r="K119" s="1" t="s">
        <v>63</v>
      </c>
      <c r="L119" s="1" t="s">
        <v>63</v>
      </c>
      <c r="M119" s="9" t="str">
        <f>ROUND('[1]Citoquinas todos los datos'!Q62,3)&amp;" - "&amp;ROUND('[1]Citoquinas todos los datos'!Q62,3)</f>
        <v>798,307 - 798,307</v>
      </c>
      <c r="N119" s="39" t="s">
        <v>731</v>
      </c>
      <c r="O119" s="39" t="s">
        <v>731</v>
      </c>
      <c r="P119" s="39" t="s">
        <v>731</v>
      </c>
      <c r="Q119" s="39" t="s">
        <v>731</v>
      </c>
      <c r="R119" s="39" t="s">
        <v>731</v>
      </c>
      <c r="S119" s="9"/>
      <c r="T119" s="1" t="s">
        <v>72</v>
      </c>
      <c r="U119" s="1" t="s">
        <v>726</v>
      </c>
      <c r="V119" s="9" t="str">
        <f>ROUND('[1]Citoquinas todos los datos'!Q62,3)&amp;" - "&amp;ROUND('[1]Citoquinas todos los datos'!Q62,3)</f>
        <v>798,307 - 798,307</v>
      </c>
      <c r="W119" s="39" t="s">
        <v>731</v>
      </c>
      <c r="X119" s="39" t="s">
        <v>731</v>
      </c>
      <c r="Y119" s="39" t="s">
        <v>731</v>
      </c>
      <c r="Z119" s="39" t="s">
        <v>731</v>
      </c>
      <c r="AA119" s="39" t="s">
        <v>731</v>
      </c>
      <c r="AB119" s="9"/>
      <c r="AC119" s="1" t="s">
        <v>72</v>
      </c>
      <c r="AD119" s="1" t="s">
        <v>727</v>
      </c>
      <c r="AE119" s="9" t="str">
        <f>ROUND('[1]Citoquinas todos los datos'!Q67,3)&amp;" - "&amp;ROUND('[1]Citoquinas todos los datos'!Q67,3)</f>
        <v>995,898 - 995,898</v>
      </c>
      <c r="AF119" s="39" t="s">
        <v>731</v>
      </c>
      <c r="AG119" s="46" t="s">
        <v>731</v>
      </c>
      <c r="AH119" s="46" t="s">
        <v>731</v>
      </c>
      <c r="AI119" s="46" t="s">
        <v>731</v>
      </c>
      <c r="AJ119" s="46" t="s">
        <v>731</v>
      </c>
    </row>
    <row r="120" spans="1:36" x14ac:dyDescent="0.25">
      <c r="A120" s="3" t="s">
        <v>64</v>
      </c>
      <c r="B120" s="1" t="s">
        <v>72</v>
      </c>
      <c r="C120" s="1" t="s">
        <v>728</v>
      </c>
      <c r="D120" s="9" t="str">
        <f>ROUND('[1]Citoquinas todos los datos'!Q69,3)&amp;" - "&amp;ROUND('[1]Citoquinas todos los datos'!Q69,3)</f>
        <v>882,524 - 882,524</v>
      </c>
      <c r="E120" s="39" t="s">
        <v>731</v>
      </c>
      <c r="F120" s="40" t="s">
        <v>731</v>
      </c>
      <c r="G120" s="40" t="s">
        <v>731</v>
      </c>
      <c r="H120" s="40" t="s">
        <v>731</v>
      </c>
      <c r="I120" s="40" t="s">
        <v>731</v>
      </c>
      <c r="J120" s="1"/>
      <c r="K120" s="1" t="s">
        <v>63</v>
      </c>
      <c r="L120" s="1" t="s">
        <v>63</v>
      </c>
      <c r="M120" s="9" t="str">
        <f>ROUND((3*MIN('[1]Citoquinas todos los datos'!Q68,'[1]Citoquinas todos los datos'!Q71)+MAX('[1]Citoquinas todos los datos'!Q68,'[1]Citoquinas todos los datos'!Q71))/4,3)&amp;" - "&amp;ROUND((MIN('[1]Citoquinas todos los datos'!Q68,'[1]Citoquinas todos los datos'!Q71)+3*MAX('[1]Citoquinas todos los datos'!Q68,'[1]Citoquinas todos los datos'!Q71))/4,3)</f>
        <v>878,971 - 923,748</v>
      </c>
      <c r="N120" s="39" t="s">
        <v>731</v>
      </c>
      <c r="O120" s="39" t="s">
        <v>731</v>
      </c>
      <c r="P120" s="39" t="s">
        <v>731</v>
      </c>
      <c r="Q120" s="39" t="s">
        <v>731</v>
      </c>
      <c r="R120" s="39" t="s">
        <v>731</v>
      </c>
      <c r="S120" s="9"/>
      <c r="T120" s="1" t="s">
        <v>17</v>
      </c>
      <c r="U120" s="1" t="s">
        <v>729</v>
      </c>
      <c r="V120" s="9" t="str">
        <f>ROUND((3*MIN('[1]Citoquinas todos los datos'!Q68,'[1]Citoquinas todos los datos'!Q71)+MAX('[1]Citoquinas todos los datos'!Q68,'[1]Citoquinas todos los datos'!Q71))/4,3)&amp;" - "&amp;ROUND((MIN('[1]Citoquinas todos los datos'!Q68,'[1]Citoquinas todos los datos'!Q71)+3*MAX('[1]Citoquinas todos los datos'!Q68,'[1]Citoquinas todos los datos'!Q71))/4,3)</f>
        <v>878,971 - 923,748</v>
      </c>
      <c r="W120" s="39" t="s">
        <v>731</v>
      </c>
      <c r="X120" s="39" t="s">
        <v>731</v>
      </c>
      <c r="Y120" s="39" t="s">
        <v>731</v>
      </c>
      <c r="Z120" s="39" t="s">
        <v>731</v>
      </c>
      <c r="AA120" s="39" t="s">
        <v>731</v>
      </c>
      <c r="AB120" s="9"/>
      <c r="AC120" s="1" t="s">
        <v>63</v>
      </c>
      <c r="AD120" s="1" t="s">
        <v>63</v>
      </c>
      <c r="AE120" s="9" t="s">
        <v>63</v>
      </c>
      <c r="AF120" s="39" t="s">
        <v>731</v>
      </c>
      <c r="AG120" s="46" t="s">
        <v>731</v>
      </c>
      <c r="AH120" s="46" t="s">
        <v>731</v>
      </c>
      <c r="AI120" s="46" t="s">
        <v>731</v>
      </c>
      <c r="AJ120" s="46" t="s">
        <v>731</v>
      </c>
    </row>
    <row r="121" spans="1:36" x14ac:dyDescent="0.25">
      <c r="A121" s="29"/>
      <c r="B121" s="1"/>
      <c r="C121" s="1"/>
      <c r="D121" s="9"/>
      <c r="E121" s="9"/>
      <c r="F121" s="1"/>
      <c r="J121" s="1"/>
      <c r="K121" s="1"/>
      <c r="L121" s="1"/>
      <c r="M121" s="9"/>
      <c r="N121" s="9"/>
      <c r="O121" s="9"/>
      <c r="S121" s="9"/>
      <c r="T121" s="1"/>
      <c r="U121" s="1"/>
      <c r="V121" s="9"/>
      <c r="W121" s="9"/>
      <c r="X121" s="9"/>
      <c r="AB121" s="9"/>
      <c r="AC121" s="1"/>
      <c r="AD121" s="1"/>
      <c r="AE121" s="9"/>
      <c r="AF121" s="9"/>
    </row>
    <row r="122" spans="1:36" x14ac:dyDescent="0.25">
      <c r="A122" s="29"/>
      <c r="B122" s="1"/>
      <c r="C122" s="1"/>
      <c r="D122" s="9"/>
      <c r="E122" s="9"/>
      <c r="F122" s="1"/>
      <c r="J122" s="1"/>
      <c r="K122" s="1"/>
      <c r="L122" s="1"/>
      <c r="M122" s="9"/>
      <c r="N122" s="9"/>
      <c r="O122" s="9"/>
      <c r="S122" s="9"/>
      <c r="T122" s="1"/>
      <c r="U122" s="1"/>
      <c r="V122" s="9"/>
      <c r="W122" s="9"/>
      <c r="X122" s="9"/>
      <c r="AB122" s="9"/>
      <c r="AC122" s="1"/>
      <c r="AD122" s="1"/>
      <c r="AE122" s="9"/>
      <c r="AF122" s="9"/>
    </row>
    <row r="123" spans="1:36" x14ac:dyDescent="0.25">
      <c r="A123" s="29"/>
      <c r="B123" s="1"/>
      <c r="C123" s="1"/>
      <c r="D123" s="9"/>
      <c r="E123" s="9"/>
      <c r="F123" s="1"/>
      <c r="J123" s="1"/>
      <c r="K123" s="1"/>
      <c r="L123" s="1"/>
      <c r="M123" s="9"/>
      <c r="N123" s="9"/>
      <c r="O123" s="9"/>
      <c r="S123" s="9"/>
      <c r="T123" s="1"/>
      <c r="U123" s="1"/>
      <c r="V123" s="9"/>
      <c r="W123" s="9"/>
      <c r="X123" s="9"/>
      <c r="AB123" s="9"/>
      <c r="AC123" s="1"/>
      <c r="AD123" s="1"/>
      <c r="AE123" s="9"/>
      <c r="AF123" s="9"/>
    </row>
    <row r="124" spans="1:36" x14ac:dyDescent="0.25">
      <c r="A124" s="29"/>
      <c r="B124" s="1"/>
      <c r="C124" s="1"/>
      <c r="D124" s="9"/>
      <c r="E124" s="9"/>
      <c r="F124" s="1"/>
      <c r="J124" s="1"/>
      <c r="K124" s="1"/>
      <c r="L124" s="1"/>
      <c r="M124" s="9"/>
      <c r="N124" s="9"/>
      <c r="O124" s="9"/>
      <c r="S124" s="9"/>
      <c r="T124" s="1"/>
      <c r="U124" s="1"/>
      <c r="V124" s="9"/>
      <c r="W124" s="9"/>
      <c r="X124" s="9"/>
      <c r="AB124" s="9"/>
      <c r="AC124" s="1"/>
      <c r="AD124" s="1"/>
      <c r="AE124" s="9"/>
      <c r="AF124" s="9"/>
    </row>
    <row r="125" spans="1:36" x14ac:dyDescent="0.25">
      <c r="A125" s="29"/>
      <c r="B125" s="1"/>
      <c r="C125" s="1"/>
      <c r="D125" s="9"/>
      <c r="E125" s="9"/>
      <c r="F125" s="1"/>
      <c r="J125" s="1"/>
      <c r="K125" s="1"/>
      <c r="L125" s="1"/>
      <c r="M125" s="9"/>
      <c r="N125" s="9"/>
      <c r="O125" s="9"/>
      <c r="S125" s="9"/>
      <c r="T125" s="1"/>
      <c r="U125" s="1"/>
      <c r="V125" s="9"/>
      <c r="W125" s="9"/>
      <c r="X125" s="9"/>
      <c r="AB125" s="9"/>
      <c r="AC125" s="1"/>
      <c r="AD125" s="1"/>
      <c r="AE125" s="9"/>
      <c r="AF125" s="9"/>
    </row>
    <row r="126" spans="1:36" x14ac:dyDescent="0.25">
      <c r="A126" s="29"/>
      <c r="B126" s="1"/>
      <c r="C126" s="1"/>
      <c r="D126" s="9"/>
      <c r="E126" s="9"/>
      <c r="F126" s="1"/>
      <c r="J126" s="1"/>
      <c r="K126" s="1"/>
      <c r="L126" s="1"/>
      <c r="M126" s="9"/>
      <c r="N126" s="9"/>
      <c r="O126" s="9"/>
      <c r="S126" s="9"/>
      <c r="T126" s="1"/>
      <c r="U126" s="1"/>
      <c r="V126" s="9"/>
      <c r="W126" s="9"/>
      <c r="X126" s="9"/>
      <c r="AB126" s="9"/>
      <c r="AC126" s="1"/>
      <c r="AD126" s="1"/>
      <c r="AE126" s="9"/>
      <c r="AF126" s="9"/>
    </row>
  </sheetData>
  <mergeCells count="6">
    <mergeCell ref="A1:A3"/>
    <mergeCell ref="B1:AJ1"/>
    <mergeCell ref="B2:I2"/>
    <mergeCell ref="K2:R2"/>
    <mergeCell ref="T2:AA2"/>
    <mergeCell ref="AC2:A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56"/>
  <sheetViews>
    <sheetView workbookViewId="0">
      <selection activeCell="F24" sqref="F24"/>
    </sheetView>
  </sheetViews>
  <sheetFormatPr baseColWidth="10" defaultColWidth="14.42578125" defaultRowHeight="15" x14ac:dyDescent="0.25"/>
  <cols>
    <col min="1" max="4" width="14.42578125" style="49"/>
    <col min="5" max="5" width="7" style="49" customWidth="1"/>
    <col min="6" max="7" width="14.42578125" style="49"/>
    <col min="8" max="8" width="7.5703125" style="49" customWidth="1"/>
    <col min="9" max="10" width="14.42578125" style="49"/>
    <col min="11" max="11" width="7.5703125" style="49" customWidth="1"/>
    <col min="12" max="13" width="14.42578125" style="49"/>
    <col min="14" max="14" width="7.5703125" style="49" customWidth="1"/>
    <col min="15" max="16" width="14.42578125" style="49"/>
    <col min="17" max="17" width="7.140625" style="49" customWidth="1"/>
    <col min="18" max="16384" width="14.42578125" style="49"/>
  </cols>
  <sheetData>
    <row r="2" spans="2:19" x14ac:dyDescent="0.25">
      <c r="B2" s="85"/>
      <c r="C2" s="83" t="s">
        <v>14</v>
      </c>
      <c r="D2" s="84"/>
      <c r="E2" s="50"/>
      <c r="F2" s="83" t="s">
        <v>25</v>
      </c>
      <c r="G2" s="84"/>
      <c r="H2" s="50"/>
      <c r="I2" s="83" t="s">
        <v>35</v>
      </c>
      <c r="J2" s="84"/>
      <c r="K2" s="50"/>
      <c r="L2" s="83" t="s">
        <v>42</v>
      </c>
      <c r="M2" s="84"/>
      <c r="N2" s="50"/>
      <c r="O2" s="83" t="s">
        <v>48</v>
      </c>
      <c r="P2" s="84"/>
      <c r="Q2" s="50"/>
      <c r="R2" s="83" t="s">
        <v>54</v>
      </c>
      <c r="S2" s="84"/>
    </row>
    <row r="3" spans="2:19" x14ac:dyDescent="0.25">
      <c r="B3" s="86"/>
      <c r="C3" s="51" t="s">
        <v>732</v>
      </c>
      <c r="D3" s="51" t="s">
        <v>733</v>
      </c>
      <c r="E3" s="51"/>
      <c r="F3" s="51" t="s">
        <v>732</v>
      </c>
      <c r="G3" s="51" t="s">
        <v>733</v>
      </c>
      <c r="H3" s="51"/>
      <c r="I3" s="51" t="s">
        <v>732</v>
      </c>
      <c r="J3" s="51" t="s">
        <v>733</v>
      </c>
      <c r="K3" s="51"/>
      <c r="L3" s="51" t="s">
        <v>732</v>
      </c>
      <c r="M3" s="51" t="s">
        <v>733</v>
      </c>
      <c r="N3" s="51"/>
      <c r="O3" s="51" t="s">
        <v>732</v>
      </c>
      <c r="P3" s="51" t="s">
        <v>733</v>
      </c>
      <c r="Q3" s="51"/>
      <c r="R3" s="51" t="s">
        <v>732</v>
      </c>
      <c r="S3" s="51" t="s">
        <v>733</v>
      </c>
    </row>
    <row r="4" spans="2:19" x14ac:dyDescent="0.25">
      <c r="B4" s="52" t="s">
        <v>383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</row>
    <row r="5" spans="2:19" x14ac:dyDescent="0.25">
      <c r="B5" s="53">
        <v>6</v>
      </c>
      <c r="C5" s="52" t="s">
        <v>673</v>
      </c>
      <c r="D5" s="48" t="s">
        <v>570</v>
      </c>
      <c r="E5" s="52"/>
      <c r="F5" s="52" t="s">
        <v>63</v>
      </c>
      <c r="G5" s="52" t="s">
        <v>63</v>
      </c>
      <c r="H5" s="52"/>
      <c r="I5" s="52" t="s">
        <v>768</v>
      </c>
      <c r="J5" s="48" t="s">
        <v>646</v>
      </c>
      <c r="K5" s="52"/>
      <c r="L5" s="52" t="s">
        <v>673</v>
      </c>
      <c r="M5" s="52" t="s">
        <v>63</v>
      </c>
      <c r="N5" s="52"/>
      <c r="O5" s="52" t="s">
        <v>63</v>
      </c>
      <c r="P5" s="52" t="s">
        <v>414</v>
      </c>
      <c r="Q5" s="52"/>
      <c r="R5" s="52" t="s">
        <v>63</v>
      </c>
      <c r="S5" s="52" t="s">
        <v>63</v>
      </c>
    </row>
    <row r="6" spans="2:19" ht="30" x14ac:dyDescent="0.25">
      <c r="B6" s="53" t="s">
        <v>747</v>
      </c>
      <c r="C6" s="52" t="s">
        <v>63</v>
      </c>
      <c r="D6" s="52" t="s">
        <v>63</v>
      </c>
      <c r="E6" s="52"/>
      <c r="F6" s="52" t="s">
        <v>63</v>
      </c>
      <c r="G6" s="52" t="s">
        <v>414</v>
      </c>
      <c r="H6" s="52"/>
      <c r="I6" s="52" t="s">
        <v>63</v>
      </c>
      <c r="J6" s="48" t="s">
        <v>769</v>
      </c>
      <c r="K6" s="52"/>
      <c r="L6" s="52" t="s">
        <v>63</v>
      </c>
      <c r="M6" s="52" t="s">
        <v>63</v>
      </c>
      <c r="N6" s="52"/>
      <c r="O6" s="52" t="s">
        <v>63</v>
      </c>
      <c r="P6" s="48" t="s">
        <v>770</v>
      </c>
      <c r="Q6" s="52"/>
      <c r="R6" s="52" t="s">
        <v>63</v>
      </c>
      <c r="S6" s="52" t="s">
        <v>63</v>
      </c>
    </row>
    <row r="7" spans="2:19" ht="30" x14ac:dyDescent="0.25">
      <c r="B7" s="53" t="s">
        <v>748</v>
      </c>
      <c r="C7" s="52" t="s">
        <v>63</v>
      </c>
      <c r="D7" s="52" t="s">
        <v>63</v>
      </c>
      <c r="E7" s="52"/>
      <c r="F7" s="52" t="s">
        <v>63</v>
      </c>
      <c r="G7" s="52" t="s">
        <v>63</v>
      </c>
      <c r="H7" s="52"/>
      <c r="I7" s="52" t="s">
        <v>63</v>
      </c>
      <c r="J7" s="52" t="s">
        <v>63</v>
      </c>
      <c r="K7" s="52"/>
      <c r="L7" s="52" t="s">
        <v>63</v>
      </c>
      <c r="M7" s="52" t="s">
        <v>63</v>
      </c>
      <c r="N7" s="52"/>
      <c r="O7" s="52" t="s">
        <v>63</v>
      </c>
      <c r="P7" s="52" t="s">
        <v>63</v>
      </c>
      <c r="Q7" s="52"/>
      <c r="R7" s="52" t="s">
        <v>470</v>
      </c>
      <c r="S7" s="48" t="s">
        <v>444</v>
      </c>
    </row>
    <row r="8" spans="2:19" x14ac:dyDescent="0.25">
      <c r="B8" s="57">
        <v>72</v>
      </c>
      <c r="C8" s="52" t="s">
        <v>63</v>
      </c>
      <c r="D8" s="52" t="s">
        <v>63</v>
      </c>
      <c r="E8" s="48"/>
      <c r="F8" s="52" t="s">
        <v>63</v>
      </c>
      <c r="G8" s="52" t="s">
        <v>63</v>
      </c>
      <c r="H8" s="48"/>
      <c r="I8" s="52" t="s">
        <v>63</v>
      </c>
      <c r="J8" s="48" t="s">
        <v>414</v>
      </c>
      <c r="K8" s="48"/>
      <c r="L8" s="52" t="s">
        <v>63</v>
      </c>
      <c r="M8" s="48" t="s">
        <v>414</v>
      </c>
      <c r="N8" s="48"/>
      <c r="O8" s="52" t="s">
        <v>63</v>
      </c>
      <c r="P8" s="52" t="s">
        <v>63</v>
      </c>
      <c r="Q8" s="48"/>
      <c r="R8" s="52" t="s">
        <v>63</v>
      </c>
      <c r="S8" s="52" t="s">
        <v>63</v>
      </c>
    </row>
    <row r="9" spans="2:19" x14ac:dyDescent="0.25">
      <c r="B9" s="57" t="s">
        <v>414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</row>
    <row r="10" spans="2:19" ht="30" x14ac:dyDescent="0.25">
      <c r="B10" s="53">
        <v>6</v>
      </c>
      <c r="C10" s="52" t="s">
        <v>63</v>
      </c>
      <c r="D10" s="52" t="s">
        <v>63</v>
      </c>
      <c r="E10" s="48"/>
      <c r="F10" s="52" t="s">
        <v>63</v>
      </c>
      <c r="G10" s="48" t="s">
        <v>673</v>
      </c>
      <c r="H10" s="48"/>
      <c r="I10" s="48" t="s">
        <v>673</v>
      </c>
      <c r="J10" s="48" t="s">
        <v>646</v>
      </c>
      <c r="K10" s="48"/>
      <c r="L10" s="52" t="s">
        <v>63</v>
      </c>
      <c r="M10" s="52" t="s">
        <v>63</v>
      </c>
      <c r="N10" s="48"/>
      <c r="O10" s="52" t="s">
        <v>63</v>
      </c>
      <c r="P10" s="52" t="s">
        <v>63</v>
      </c>
      <c r="Q10" s="48"/>
      <c r="R10" s="52" t="s">
        <v>63</v>
      </c>
      <c r="S10" s="52" t="s">
        <v>63</v>
      </c>
    </row>
    <row r="11" spans="2:19" ht="30" x14ac:dyDescent="0.25">
      <c r="B11" s="53" t="s">
        <v>747</v>
      </c>
      <c r="C11" s="52" t="s">
        <v>63</v>
      </c>
      <c r="D11" s="52" t="s">
        <v>63</v>
      </c>
      <c r="E11" s="48"/>
      <c r="F11" s="52" t="s">
        <v>63</v>
      </c>
      <c r="G11" s="52" t="s">
        <v>63</v>
      </c>
      <c r="H11" s="48"/>
      <c r="I11" s="48" t="s">
        <v>749</v>
      </c>
      <c r="J11" s="52" t="s">
        <v>63</v>
      </c>
      <c r="K11" s="48"/>
      <c r="L11" s="48" t="s">
        <v>750</v>
      </c>
      <c r="M11" s="57" t="s">
        <v>673</v>
      </c>
      <c r="N11" s="48"/>
      <c r="O11" s="48" t="s">
        <v>621</v>
      </c>
      <c r="P11" s="52" t="s">
        <v>63</v>
      </c>
      <c r="Q11" s="48"/>
      <c r="R11" s="52" t="s">
        <v>63</v>
      </c>
      <c r="S11" s="52" t="s">
        <v>63</v>
      </c>
    </row>
    <row r="12" spans="2:19" x14ac:dyDescent="0.25">
      <c r="B12" s="53" t="s">
        <v>748</v>
      </c>
      <c r="C12" s="52" t="s">
        <v>63</v>
      </c>
      <c r="D12" s="52" t="s">
        <v>63</v>
      </c>
      <c r="E12" s="48"/>
      <c r="F12" s="52" t="s">
        <v>63</v>
      </c>
      <c r="G12" s="52" t="s">
        <v>63</v>
      </c>
      <c r="H12" s="48"/>
      <c r="I12" s="52" t="s">
        <v>63</v>
      </c>
      <c r="J12" s="52" t="s">
        <v>63</v>
      </c>
      <c r="K12" s="48"/>
      <c r="L12" s="52" t="s">
        <v>63</v>
      </c>
      <c r="M12" s="52" t="s">
        <v>63</v>
      </c>
      <c r="N12" s="48"/>
      <c r="O12" s="52" t="s">
        <v>63</v>
      </c>
      <c r="P12" s="52" t="s">
        <v>63</v>
      </c>
      <c r="Q12" s="48"/>
      <c r="R12" s="55" t="s">
        <v>751</v>
      </c>
      <c r="S12" s="52" t="s">
        <v>704</v>
      </c>
    </row>
    <row r="13" spans="2:19" x14ac:dyDescent="0.25">
      <c r="B13" s="57">
        <v>72</v>
      </c>
      <c r="C13" s="52" t="s">
        <v>63</v>
      </c>
      <c r="D13" s="52" t="s">
        <v>63</v>
      </c>
      <c r="E13" s="48"/>
      <c r="F13" s="52" t="s">
        <v>63</v>
      </c>
      <c r="G13" s="52" t="s">
        <v>63</v>
      </c>
      <c r="H13" s="48"/>
      <c r="I13" s="52" t="s">
        <v>63</v>
      </c>
      <c r="J13" s="52" t="s">
        <v>63</v>
      </c>
      <c r="K13" s="48"/>
      <c r="L13" s="52" t="s">
        <v>63</v>
      </c>
      <c r="M13" s="52" t="s">
        <v>63</v>
      </c>
      <c r="N13" s="48"/>
      <c r="O13" s="52" t="s">
        <v>63</v>
      </c>
      <c r="P13" s="52" t="s">
        <v>63</v>
      </c>
      <c r="Q13" s="48"/>
      <c r="R13" s="52" t="s">
        <v>63</v>
      </c>
      <c r="S13" s="52" t="s">
        <v>63</v>
      </c>
    </row>
    <row r="14" spans="2:19" x14ac:dyDescent="0.25">
      <c r="B14" s="57" t="s">
        <v>444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</row>
    <row r="15" spans="2:19" x14ac:dyDescent="0.25">
      <c r="B15" s="53">
        <v>6</v>
      </c>
      <c r="C15" s="52" t="s">
        <v>63</v>
      </c>
      <c r="D15" s="52" t="s">
        <v>63</v>
      </c>
      <c r="E15" s="48"/>
      <c r="F15" s="52" t="s">
        <v>63</v>
      </c>
      <c r="G15" s="52" t="s">
        <v>63</v>
      </c>
      <c r="H15" s="48"/>
      <c r="I15" s="52" t="s">
        <v>63</v>
      </c>
      <c r="J15" s="52" t="s">
        <v>63</v>
      </c>
      <c r="K15" s="48"/>
      <c r="L15" s="52" t="s">
        <v>63</v>
      </c>
      <c r="M15" s="52" t="s">
        <v>63</v>
      </c>
      <c r="N15" s="48"/>
      <c r="O15" s="52" t="s">
        <v>63</v>
      </c>
      <c r="P15" s="52" t="s">
        <v>63</v>
      </c>
      <c r="Q15" s="48"/>
      <c r="R15" s="52" t="s">
        <v>63</v>
      </c>
      <c r="S15" s="52" t="s">
        <v>63</v>
      </c>
    </row>
    <row r="16" spans="2:19" ht="30" x14ac:dyDescent="0.25">
      <c r="B16" s="53" t="s">
        <v>747</v>
      </c>
      <c r="C16" s="52" t="s">
        <v>63</v>
      </c>
      <c r="D16" s="52" t="s">
        <v>63</v>
      </c>
      <c r="E16" s="48"/>
      <c r="F16" s="52" t="s">
        <v>63</v>
      </c>
      <c r="G16" s="52" t="s">
        <v>63</v>
      </c>
      <c r="H16" s="48"/>
      <c r="I16" s="52" t="s">
        <v>63</v>
      </c>
      <c r="J16" s="52" t="s">
        <v>63</v>
      </c>
      <c r="K16" s="48"/>
      <c r="L16" s="48" t="s">
        <v>752</v>
      </c>
      <c r="M16" s="48" t="s">
        <v>673</v>
      </c>
      <c r="N16" s="48"/>
      <c r="O16" s="52" t="s">
        <v>63</v>
      </c>
      <c r="P16" s="52" t="s">
        <v>63</v>
      </c>
      <c r="Q16" s="48"/>
      <c r="R16" s="52" t="s">
        <v>63</v>
      </c>
      <c r="S16" s="52" t="s">
        <v>63</v>
      </c>
    </row>
    <row r="17" spans="2:19" x14ac:dyDescent="0.25">
      <c r="B17" s="53" t="s">
        <v>748</v>
      </c>
      <c r="C17" s="52" t="s">
        <v>63</v>
      </c>
      <c r="D17" s="52" t="s">
        <v>63</v>
      </c>
      <c r="E17" s="48"/>
      <c r="F17" s="48" t="s">
        <v>673</v>
      </c>
      <c r="G17" s="48" t="s">
        <v>570</v>
      </c>
      <c r="H17" s="48"/>
      <c r="I17" s="52" t="s">
        <v>63</v>
      </c>
      <c r="J17" s="52" t="s">
        <v>63</v>
      </c>
      <c r="K17" s="48"/>
      <c r="L17" s="52" t="s">
        <v>63</v>
      </c>
      <c r="M17" s="52" t="s">
        <v>63</v>
      </c>
      <c r="N17" s="48"/>
      <c r="O17" s="52" t="s">
        <v>63</v>
      </c>
      <c r="P17" s="52" t="s">
        <v>63</v>
      </c>
      <c r="Q17" s="48"/>
      <c r="R17" s="52" t="s">
        <v>63</v>
      </c>
      <c r="S17" s="48" t="s">
        <v>470</v>
      </c>
    </row>
    <row r="18" spans="2:19" x14ac:dyDescent="0.25">
      <c r="B18" s="57">
        <v>72</v>
      </c>
      <c r="C18" s="52" t="s">
        <v>63</v>
      </c>
      <c r="D18" s="52" t="s">
        <v>63</v>
      </c>
      <c r="E18" s="48"/>
      <c r="F18" s="52" t="s">
        <v>63</v>
      </c>
      <c r="G18" s="52" t="s">
        <v>63</v>
      </c>
      <c r="H18" s="48"/>
      <c r="I18" s="52" t="s">
        <v>63</v>
      </c>
      <c r="J18" s="52" t="s">
        <v>63</v>
      </c>
      <c r="K18" s="48"/>
      <c r="L18" s="52" t="s">
        <v>63</v>
      </c>
      <c r="M18" s="52" t="s">
        <v>63</v>
      </c>
      <c r="N18" s="48"/>
      <c r="O18" s="52" t="s">
        <v>63</v>
      </c>
      <c r="P18" s="52" t="s">
        <v>63</v>
      </c>
      <c r="Q18" s="48"/>
      <c r="R18" s="52" t="s">
        <v>63</v>
      </c>
      <c r="S18" s="52" t="s">
        <v>63</v>
      </c>
    </row>
    <row r="19" spans="2:19" x14ac:dyDescent="0.25">
      <c r="B19" s="57" t="s">
        <v>470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</row>
    <row r="20" spans="2:19" x14ac:dyDescent="0.25">
      <c r="B20" s="53">
        <v>6</v>
      </c>
      <c r="C20" s="52" t="s">
        <v>63</v>
      </c>
      <c r="D20" s="52" t="s">
        <v>63</v>
      </c>
      <c r="E20" s="48"/>
      <c r="F20" s="52" t="s">
        <v>63</v>
      </c>
      <c r="G20" s="52" t="s">
        <v>63</v>
      </c>
      <c r="H20" s="48"/>
      <c r="I20" s="52" t="s">
        <v>63</v>
      </c>
      <c r="J20" s="52" t="s">
        <v>63</v>
      </c>
      <c r="K20" s="48"/>
      <c r="L20" s="52" t="s">
        <v>63</v>
      </c>
      <c r="M20" s="48" t="s">
        <v>621</v>
      </c>
      <c r="N20" s="48"/>
      <c r="O20" s="52" t="s">
        <v>63</v>
      </c>
      <c r="P20" s="52" t="s">
        <v>63</v>
      </c>
      <c r="Q20" s="48"/>
      <c r="R20" s="52" t="s">
        <v>63</v>
      </c>
      <c r="S20" s="52" t="s">
        <v>63</v>
      </c>
    </row>
    <row r="21" spans="2:19" ht="30" x14ac:dyDescent="0.25">
      <c r="B21" s="53" t="s">
        <v>747</v>
      </c>
      <c r="C21" s="52" t="s">
        <v>63</v>
      </c>
      <c r="D21" s="52" t="s">
        <v>63</v>
      </c>
      <c r="E21" s="48"/>
      <c r="F21" s="52" t="s">
        <v>63</v>
      </c>
      <c r="G21" s="52" t="s">
        <v>63</v>
      </c>
      <c r="H21" s="48"/>
      <c r="I21" s="52" t="s">
        <v>63</v>
      </c>
      <c r="J21" s="52" t="s">
        <v>63</v>
      </c>
      <c r="K21" s="48"/>
      <c r="L21" s="48" t="s">
        <v>517</v>
      </c>
      <c r="M21" s="48" t="s">
        <v>673</v>
      </c>
      <c r="N21" s="48"/>
      <c r="O21" s="52" t="s">
        <v>63</v>
      </c>
      <c r="P21" s="52" t="s">
        <v>63</v>
      </c>
      <c r="Q21" s="48"/>
      <c r="R21" s="52" t="s">
        <v>63</v>
      </c>
      <c r="S21" s="52" t="s">
        <v>63</v>
      </c>
    </row>
    <row r="22" spans="2:19" x14ac:dyDescent="0.25">
      <c r="B22" s="53" t="s">
        <v>748</v>
      </c>
      <c r="C22" s="52" t="s">
        <v>63</v>
      </c>
      <c r="D22" s="52" t="s">
        <v>63</v>
      </c>
      <c r="E22" s="48"/>
      <c r="F22" s="52" t="s">
        <v>63</v>
      </c>
      <c r="G22" s="52" t="s">
        <v>63</v>
      </c>
      <c r="H22" s="48"/>
      <c r="I22" s="52" t="s">
        <v>63</v>
      </c>
      <c r="J22" s="52" t="s">
        <v>63</v>
      </c>
      <c r="K22" s="48"/>
      <c r="L22" s="52" t="s">
        <v>63</v>
      </c>
      <c r="M22" s="52" t="s">
        <v>63</v>
      </c>
      <c r="N22" s="48"/>
      <c r="O22" s="52" t="s">
        <v>63</v>
      </c>
      <c r="P22" s="52" t="s">
        <v>63</v>
      </c>
      <c r="Q22" s="48"/>
      <c r="R22" s="52" t="s">
        <v>63</v>
      </c>
      <c r="S22" s="52" t="s">
        <v>63</v>
      </c>
    </row>
    <row r="23" spans="2:19" x14ac:dyDescent="0.25">
      <c r="B23" s="57">
        <v>72</v>
      </c>
      <c r="C23" s="52" t="s">
        <v>63</v>
      </c>
      <c r="D23" s="52" t="s">
        <v>63</v>
      </c>
      <c r="E23" s="48"/>
      <c r="F23" s="52" t="s">
        <v>63</v>
      </c>
      <c r="G23" s="52" t="s">
        <v>63</v>
      </c>
      <c r="H23" s="48"/>
      <c r="I23" s="52" t="s">
        <v>63</v>
      </c>
      <c r="J23" s="52" t="s">
        <v>63</v>
      </c>
      <c r="K23" s="48"/>
      <c r="L23" s="52" t="s">
        <v>63</v>
      </c>
      <c r="M23" s="52" t="s">
        <v>63</v>
      </c>
      <c r="N23" s="48"/>
      <c r="O23" s="52" t="s">
        <v>63</v>
      </c>
      <c r="P23" s="52" t="s">
        <v>63</v>
      </c>
      <c r="Q23" s="48"/>
      <c r="R23" s="52" t="s">
        <v>63</v>
      </c>
      <c r="S23" s="52" t="s">
        <v>63</v>
      </c>
    </row>
    <row r="24" spans="2:19" x14ac:dyDescent="0.25">
      <c r="B24" s="57" t="s">
        <v>517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</row>
    <row r="25" spans="2:19" x14ac:dyDescent="0.25">
      <c r="B25" s="53">
        <v>6</v>
      </c>
      <c r="C25" s="52" t="s">
        <v>63</v>
      </c>
      <c r="D25" s="52" t="s">
        <v>63</v>
      </c>
      <c r="E25" s="48"/>
      <c r="F25" s="48" t="s">
        <v>753</v>
      </c>
      <c r="G25" s="52" t="s">
        <v>704</v>
      </c>
      <c r="H25" s="48"/>
      <c r="I25" s="52" t="s">
        <v>63</v>
      </c>
      <c r="J25" s="52" t="s">
        <v>63</v>
      </c>
      <c r="K25" s="48"/>
      <c r="L25" s="52" t="s">
        <v>63</v>
      </c>
      <c r="M25" s="52" t="s">
        <v>63</v>
      </c>
      <c r="N25" s="48"/>
      <c r="O25" s="52" t="s">
        <v>63</v>
      </c>
      <c r="P25" s="52" t="s">
        <v>63</v>
      </c>
      <c r="Q25" s="48"/>
      <c r="R25" s="52" t="s">
        <v>63</v>
      </c>
      <c r="S25" s="52" t="s">
        <v>63</v>
      </c>
    </row>
    <row r="26" spans="2:19" x14ac:dyDescent="0.25">
      <c r="B26" s="53" t="s">
        <v>747</v>
      </c>
      <c r="C26" s="52" t="s">
        <v>63</v>
      </c>
      <c r="D26" s="52" t="s">
        <v>63</v>
      </c>
      <c r="E26" s="48"/>
      <c r="F26" s="52" t="s">
        <v>63</v>
      </c>
      <c r="G26" s="52" t="s">
        <v>63</v>
      </c>
      <c r="H26" s="48"/>
      <c r="I26" s="52" t="s">
        <v>63</v>
      </c>
      <c r="J26" s="52" t="s">
        <v>63</v>
      </c>
      <c r="K26" s="48"/>
      <c r="L26" s="52" t="s">
        <v>63</v>
      </c>
      <c r="M26" s="55" t="s">
        <v>673</v>
      </c>
      <c r="N26" s="48"/>
      <c r="O26" s="52" t="s">
        <v>63</v>
      </c>
      <c r="P26" s="52" t="s">
        <v>63</v>
      </c>
      <c r="Q26" s="48"/>
      <c r="R26" s="52" t="s">
        <v>63</v>
      </c>
      <c r="S26" s="52" t="s">
        <v>63</v>
      </c>
    </row>
    <row r="27" spans="2:19" x14ac:dyDescent="0.25">
      <c r="B27" s="53" t="s">
        <v>748</v>
      </c>
      <c r="C27" s="52" t="s">
        <v>63</v>
      </c>
      <c r="D27" s="52" t="s">
        <v>63</v>
      </c>
      <c r="E27" s="48"/>
      <c r="F27" s="52" t="s">
        <v>63</v>
      </c>
      <c r="G27" s="52" t="s">
        <v>63</v>
      </c>
      <c r="H27" s="48"/>
      <c r="I27" s="52" t="s">
        <v>63</v>
      </c>
      <c r="J27" s="52" t="s">
        <v>63</v>
      </c>
      <c r="K27" s="48"/>
      <c r="L27" s="52" t="s">
        <v>63</v>
      </c>
      <c r="M27" s="52" t="s">
        <v>63</v>
      </c>
      <c r="N27" s="48"/>
      <c r="O27" s="52" t="s">
        <v>63</v>
      </c>
      <c r="P27" s="52" t="s">
        <v>63</v>
      </c>
      <c r="Q27" s="48"/>
      <c r="R27" s="48" t="s">
        <v>673</v>
      </c>
      <c r="S27" s="52" t="s">
        <v>704</v>
      </c>
    </row>
    <row r="28" spans="2:19" x14ac:dyDescent="0.25">
      <c r="B28" s="57">
        <v>72</v>
      </c>
      <c r="C28" s="52" t="s">
        <v>63</v>
      </c>
      <c r="D28" s="52" t="s">
        <v>63</v>
      </c>
      <c r="E28" s="48"/>
      <c r="F28" s="52" t="s">
        <v>63</v>
      </c>
      <c r="G28" s="52" t="s">
        <v>63</v>
      </c>
      <c r="H28" s="48"/>
      <c r="I28" s="52" t="s">
        <v>63</v>
      </c>
      <c r="J28" s="52" t="s">
        <v>63</v>
      </c>
      <c r="K28" s="48"/>
      <c r="L28" s="52" t="s">
        <v>63</v>
      </c>
      <c r="M28" s="52" t="s">
        <v>63</v>
      </c>
      <c r="N28" s="48"/>
      <c r="O28" s="52" t="s">
        <v>63</v>
      </c>
      <c r="P28" s="52" t="s">
        <v>63</v>
      </c>
      <c r="Q28" s="48"/>
      <c r="R28" s="52" t="s">
        <v>63</v>
      </c>
      <c r="S28" s="52" t="s">
        <v>63</v>
      </c>
    </row>
    <row r="29" spans="2:19" x14ac:dyDescent="0.25">
      <c r="B29" s="57" t="s">
        <v>546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</row>
    <row r="30" spans="2:19" x14ac:dyDescent="0.25">
      <c r="B30" s="53">
        <v>6</v>
      </c>
      <c r="C30" s="52" t="s">
        <v>63</v>
      </c>
      <c r="D30" s="52" t="s">
        <v>63</v>
      </c>
      <c r="E30" s="48"/>
      <c r="F30" s="48" t="s">
        <v>754</v>
      </c>
      <c r="G30" s="52" t="s">
        <v>704</v>
      </c>
      <c r="H30" s="48"/>
      <c r="I30" s="52" t="s">
        <v>63</v>
      </c>
      <c r="J30" s="52" t="s">
        <v>63</v>
      </c>
      <c r="K30" s="48"/>
      <c r="L30" s="52" t="s">
        <v>63</v>
      </c>
      <c r="M30" s="52" t="s">
        <v>63</v>
      </c>
      <c r="N30" s="48"/>
      <c r="O30" s="52" t="s">
        <v>63</v>
      </c>
      <c r="P30" s="52" t="s">
        <v>63</v>
      </c>
      <c r="Q30" s="48"/>
      <c r="R30" s="52" t="s">
        <v>63</v>
      </c>
      <c r="S30" s="52" t="s">
        <v>63</v>
      </c>
    </row>
    <row r="31" spans="2:19" x14ac:dyDescent="0.25">
      <c r="B31" s="53" t="s">
        <v>747</v>
      </c>
      <c r="C31" s="52" t="s">
        <v>63</v>
      </c>
      <c r="D31" s="52" t="s">
        <v>63</v>
      </c>
      <c r="E31" s="48"/>
      <c r="F31" s="52" t="s">
        <v>63</v>
      </c>
      <c r="G31" s="52" t="s">
        <v>63</v>
      </c>
      <c r="H31" s="48"/>
      <c r="I31" s="52" t="s">
        <v>704</v>
      </c>
      <c r="J31" s="52" t="s">
        <v>63</v>
      </c>
      <c r="K31" s="48"/>
      <c r="L31" s="52" t="s">
        <v>63</v>
      </c>
      <c r="M31" s="52" t="s">
        <v>63</v>
      </c>
      <c r="N31" s="48"/>
      <c r="O31" s="52" t="s">
        <v>63</v>
      </c>
      <c r="P31" s="52" t="s">
        <v>63</v>
      </c>
      <c r="Q31" s="48"/>
      <c r="R31" s="52" t="s">
        <v>63</v>
      </c>
      <c r="S31" s="52" t="s">
        <v>63</v>
      </c>
    </row>
    <row r="32" spans="2:19" x14ac:dyDescent="0.25">
      <c r="B32" s="53" t="s">
        <v>748</v>
      </c>
      <c r="C32" s="52" t="s">
        <v>63</v>
      </c>
      <c r="D32" s="52" t="s">
        <v>63</v>
      </c>
      <c r="E32" s="48"/>
      <c r="F32" s="52" t="s">
        <v>63</v>
      </c>
      <c r="G32" s="52" t="s">
        <v>63</v>
      </c>
      <c r="H32" s="48"/>
      <c r="I32" s="52" t="s">
        <v>63</v>
      </c>
      <c r="J32" s="52" t="s">
        <v>63</v>
      </c>
      <c r="K32" s="48"/>
      <c r="L32" s="52" t="s">
        <v>63</v>
      </c>
      <c r="M32" s="52" t="s">
        <v>63</v>
      </c>
      <c r="N32" s="48"/>
      <c r="O32" s="52" t="s">
        <v>63</v>
      </c>
      <c r="P32" s="52" t="s">
        <v>63</v>
      </c>
      <c r="Q32" s="48"/>
      <c r="R32" s="52" t="s">
        <v>63</v>
      </c>
      <c r="S32" s="52" t="s">
        <v>63</v>
      </c>
    </row>
    <row r="33" spans="2:19" x14ac:dyDescent="0.25">
      <c r="B33" s="57">
        <v>72</v>
      </c>
      <c r="C33" s="52" t="s">
        <v>63</v>
      </c>
      <c r="D33" s="52" t="s">
        <v>63</v>
      </c>
      <c r="E33" s="48"/>
      <c r="F33" s="52" t="s">
        <v>63</v>
      </c>
      <c r="G33" s="52" t="s">
        <v>63</v>
      </c>
      <c r="H33" s="48"/>
      <c r="I33" s="52" t="s">
        <v>63</v>
      </c>
      <c r="J33" s="52" t="s">
        <v>63</v>
      </c>
      <c r="K33" s="48"/>
      <c r="L33" s="52" t="s">
        <v>63</v>
      </c>
      <c r="M33" s="52" t="s">
        <v>63</v>
      </c>
      <c r="N33" s="48"/>
      <c r="O33" s="52" t="s">
        <v>63</v>
      </c>
      <c r="P33" s="52" t="s">
        <v>63</v>
      </c>
      <c r="Q33" s="48"/>
      <c r="R33" s="52" t="s">
        <v>63</v>
      </c>
      <c r="S33" s="52" t="s">
        <v>63</v>
      </c>
    </row>
    <row r="34" spans="2:19" x14ac:dyDescent="0.25">
      <c r="B34" s="57" t="s">
        <v>570</v>
      </c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</row>
    <row r="35" spans="2:19" x14ac:dyDescent="0.25">
      <c r="B35" s="53">
        <v>6</v>
      </c>
      <c r="C35" s="52" t="s">
        <v>63</v>
      </c>
      <c r="D35" s="48" t="s">
        <v>673</v>
      </c>
      <c r="E35" s="48"/>
      <c r="F35" s="52" t="s">
        <v>63</v>
      </c>
      <c r="G35" s="52" t="s">
        <v>63</v>
      </c>
      <c r="H35" s="48"/>
      <c r="I35" s="52" t="s">
        <v>63</v>
      </c>
      <c r="J35" s="52" t="s">
        <v>63</v>
      </c>
      <c r="K35" s="48"/>
      <c r="L35" s="52" t="s">
        <v>63</v>
      </c>
      <c r="M35" s="52" t="s">
        <v>63</v>
      </c>
      <c r="N35" s="48"/>
      <c r="O35" s="52" t="s">
        <v>63</v>
      </c>
      <c r="P35" s="52" t="s">
        <v>63</v>
      </c>
      <c r="Q35" s="48"/>
      <c r="R35" s="52" t="s">
        <v>63</v>
      </c>
      <c r="S35" s="52" t="s">
        <v>63</v>
      </c>
    </row>
    <row r="36" spans="2:19" x14ac:dyDescent="0.25">
      <c r="B36" s="53" t="s">
        <v>747</v>
      </c>
      <c r="C36" s="52" t="s">
        <v>63</v>
      </c>
      <c r="D36" s="52" t="s">
        <v>63</v>
      </c>
      <c r="E36" s="48"/>
      <c r="F36" s="52" t="s">
        <v>63</v>
      </c>
      <c r="G36" s="52" t="s">
        <v>63</v>
      </c>
      <c r="H36" s="48"/>
      <c r="I36" s="52" t="s">
        <v>63</v>
      </c>
      <c r="J36" s="52" t="s">
        <v>63</v>
      </c>
      <c r="K36" s="48"/>
      <c r="L36" s="52" t="s">
        <v>63</v>
      </c>
      <c r="M36" s="52" t="s">
        <v>63</v>
      </c>
      <c r="N36" s="48"/>
      <c r="O36" s="52" t="s">
        <v>63</v>
      </c>
      <c r="P36" s="52" t="s">
        <v>63</v>
      </c>
      <c r="Q36" s="48"/>
      <c r="R36" s="52" t="s">
        <v>63</v>
      </c>
      <c r="S36" s="52" t="s">
        <v>63</v>
      </c>
    </row>
    <row r="37" spans="2:19" x14ac:dyDescent="0.25">
      <c r="B37" s="53" t="s">
        <v>748</v>
      </c>
      <c r="C37" s="52" t="s">
        <v>63</v>
      </c>
      <c r="D37" s="48" t="s">
        <v>673</v>
      </c>
      <c r="E37" s="48"/>
      <c r="F37" s="52" t="s">
        <v>63</v>
      </c>
      <c r="G37" s="52" t="s">
        <v>63</v>
      </c>
      <c r="H37" s="48"/>
      <c r="I37" s="52" t="s">
        <v>63</v>
      </c>
      <c r="J37" s="52" t="s">
        <v>63</v>
      </c>
      <c r="K37" s="48"/>
      <c r="L37" s="52" t="s">
        <v>63</v>
      </c>
      <c r="M37" s="52" t="s">
        <v>63</v>
      </c>
      <c r="N37" s="48"/>
      <c r="O37" s="52" t="s">
        <v>63</v>
      </c>
      <c r="P37" s="52" t="s">
        <v>63</v>
      </c>
      <c r="Q37" s="48"/>
      <c r="R37" s="52" t="s">
        <v>63</v>
      </c>
      <c r="S37" s="52" t="s">
        <v>63</v>
      </c>
    </row>
    <row r="38" spans="2:19" x14ac:dyDescent="0.25">
      <c r="B38" s="57">
        <v>72</v>
      </c>
      <c r="C38" s="52" t="s">
        <v>63</v>
      </c>
      <c r="D38" s="52" t="s">
        <v>63</v>
      </c>
      <c r="E38" s="48"/>
      <c r="F38" s="52" t="s">
        <v>63</v>
      </c>
      <c r="G38" s="52" t="s">
        <v>63</v>
      </c>
      <c r="H38" s="48"/>
      <c r="I38" s="52" t="s">
        <v>63</v>
      </c>
      <c r="J38" s="52" t="s">
        <v>63</v>
      </c>
      <c r="K38" s="48"/>
      <c r="L38" s="52" t="s">
        <v>63</v>
      </c>
      <c r="M38" s="52" t="s">
        <v>63</v>
      </c>
      <c r="N38" s="48"/>
      <c r="O38" s="52" t="s">
        <v>63</v>
      </c>
      <c r="P38" s="52" t="s">
        <v>63</v>
      </c>
      <c r="Q38" s="48"/>
      <c r="R38" s="52" t="s">
        <v>63</v>
      </c>
      <c r="S38" s="52" t="s">
        <v>63</v>
      </c>
    </row>
    <row r="39" spans="2:19" x14ac:dyDescent="0.25">
      <c r="B39" s="57" t="s">
        <v>621</v>
      </c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</row>
    <row r="40" spans="2:19" x14ac:dyDescent="0.25">
      <c r="B40" s="53">
        <v>6</v>
      </c>
      <c r="C40" s="48" t="s">
        <v>646</v>
      </c>
      <c r="D40" s="52" t="s">
        <v>63</v>
      </c>
      <c r="E40" s="48"/>
      <c r="F40" s="48" t="s">
        <v>646</v>
      </c>
      <c r="G40" s="52" t="s">
        <v>704</v>
      </c>
      <c r="H40" s="48"/>
      <c r="I40" s="52" t="s">
        <v>63</v>
      </c>
      <c r="J40" s="52" t="s">
        <v>63</v>
      </c>
      <c r="K40" s="48"/>
      <c r="L40" s="52" t="s">
        <v>63</v>
      </c>
      <c r="M40" s="52" t="s">
        <v>63</v>
      </c>
      <c r="N40" s="48"/>
      <c r="O40" s="52" t="s">
        <v>63</v>
      </c>
      <c r="P40" s="52" t="s">
        <v>63</v>
      </c>
      <c r="Q40" s="48"/>
      <c r="R40" s="52" t="s">
        <v>63</v>
      </c>
      <c r="S40" s="52" t="s">
        <v>63</v>
      </c>
    </row>
    <row r="41" spans="2:19" x14ac:dyDescent="0.25">
      <c r="B41" s="53" t="s">
        <v>747</v>
      </c>
      <c r="C41" s="52" t="s">
        <v>63</v>
      </c>
      <c r="D41" s="52" t="s">
        <v>63</v>
      </c>
      <c r="E41" s="48"/>
      <c r="F41" s="52" t="s">
        <v>63</v>
      </c>
      <c r="G41" s="52" t="s">
        <v>63</v>
      </c>
      <c r="H41" s="48"/>
      <c r="I41" s="52" t="s">
        <v>63</v>
      </c>
      <c r="J41" s="52" t="s">
        <v>63</v>
      </c>
      <c r="K41" s="48"/>
      <c r="L41" s="52" t="s">
        <v>63</v>
      </c>
      <c r="M41" s="52" t="s">
        <v>63</v>
      </c>
      <c r="N41" s="48"/>
      <c r="O41" s="52" t="s">
        <v>63</v>
      </c>
      <c r="P41" s="52" t="s">
        <v>63</v>
      </c>
      <c r="Q41" s="48"/>
      <c r="R41" s="52" t="s">
        <v>63</v>
      </c>
      <c r="S41" s="52" t="s">
        <v>63</v>
      </c>
    </row>
    <row r="42" spans="2:19" x14ac:dyDescent="0.25">
      <c r="B42" s="53" t="s">
        <v>748</v>
      </c>
      <c r="C42" s="52" t="s">
        <v>63</v>
      </c>
      <c r="D42" s="52" t="s">
        <v>63</v>
      </c>
      <c r="E42" s="48"/>
      <c r="F42" s="52" t="s">
        <v>63</v>
      </c>
      <c r="G42" s="52" t="s">
        <v>63</v>
      </c>
      <c r="H42" s="48"/>
      <c r="I42" s="52" t="s">
        <v>63</v>
      </c>
      <c r="J42" s="52" t="s">
        <v>63</v>
      </c>
      <c r="K42" s="48"/>
      <c r="L42" s="52" t="s">
        <v>63</v>
      </c>
      <c r="M42" s="52" t="s">
        <v>63</v>
      </c>
      <c r="N42" s="48"/>
      <c r="O42" s="52" t="s">
        <v>63</v>
      </c>
      <c r="P42" s="52" t="s">
        <v>63</v>
      </c>
      <c r="Q42" s="48"/>
      <c r="R42" s="52" t="s">
        <v>63</v>
      </c>
      <c r="S42" s="48" t="s">
        <v>646</v>
      </c>
    </row>
    <row r="43" spans="2:19" x14ac:dyDescent="0.25">
      <c r="B43" s="57">
        <v>72</v>
      </c>
      <c r="C43" s="52" t="s">
        <v>63</v>
      </c>
      <c r="D43" s="52" t="s">
        <v>63</v>
      </c>
      <c r="E43" s="48"/>
      <c r="F43" s="52" t="s">
        <v>63</v>
      </c>
      <c r="G43" s="52" t="s">
        <v>63</v>
      </c>
      <c r="H43" s="48"/>
      <c r="I43" s="52" t="s">
        <v>63</v>
      </c>
      <c r="J43" s="52" t="s">
        <v>63</v>
      </c>
      <c r="K43" s="48"/>
      <c r="L43" s="52" t="s">
        <v>63</v>
      </c>
      <c r="M43" s="52" t="s">
        <v>63</v>
      </c>
      <c r="N43" s="48"/>
      <c r="O43" s="52" t="s">
        <v>63</v>
      </c>
      <c r="P43" s="52" t="s">
        <v>63</v>
      </c>
      <c r="Q43" s="48"/>
      <c r="R43" s="52" t="s">
        <v>63</v>
      </c>
      <c r="S43" s="52" t="s">
        <v>63</v>
      </c>
    </row>
    <row r="44" spans="2:19" x14ac:dyDescent="0.25">
      <c r="B44" s="57" t="s">
        <v>646</v>
      </c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</row>
    <row r="45" spans="2:19" x14ac:dyDescent="0.25">
      <c r="B45" s="53">
        <v>6</v>
      </c>
      <c r="C45" s="52" t="s">
        <v>63</v>
      </c>
      <c r="D45" s="52" t="s">
        <v>63</v>
      </c>
      <c r="E45" s="48"/>
      <c r="F45" s="52" t="s">
        <v>63</v>
      </c>
      <c r="G45" s="52" t="s">
        <v>704</v>
      </c>
      <c r="H45" s="48"/>
      <c r="I45" s="52" t="s">
        <v>63</v>
      </c>
      <c r="J45" s="55" t="s">
        <v>673</v>
      </c>
      <c r="K45" s="48"/>
      <c r="L45" s="52" t="s">
        <v>63</v>
      </c>
      <c r="M45" s="52" t="s">
        <v>63</v>
      </c>
      <c r="N45" s="48"/>
      <c r="O45" s="52" t="s">
        <v>63</v>
      </c>
      <c r="P45" s="52" t="s">
        <v>63</v>
      </c>
      <c r="Q45" s="48"/>
      <c r="R45" s="52" t="s">
        <v>63</v>
      </c>
      <c r="S45" s="52" t="s">
        <v>63</v>
      </c>
    </row>
    <row r="46" spans="2:19" x14ac:dyDescent="0.25">
      <c r="B46" s="53" t="s">
        <v>747</v>
      </c>
      <c r="C46" s="52" t="s">
        <v>63</v>
      </c>
      <c r="D46" s="52" t="s">
        <v>63</v>
      </c>
      <c r="E46" s="48"/>
      <c r="F46" s="52" t="s">
        <v>63</v>
      </c>
      <c r="G46" s="52" t="s">
        <v>63</v>
      </c>
      <c r="H46" s="48"/>
      <c r="I46" s="52" t="s">
        <v>63</v>
      </c>
      <c r="J46" s="52" t="s">
        <v>63</v>
      </c>
      <c r="K46" s="48"/>
      <c r="L46" s="52" t="s">
        <v>63</v>
      </c>
      <c r="M46" s="52" t="s">
        <v>63</v>
      </c>
      <c r="N46" s="48"/>
      <c r="O46" s="52" t="s">
        <v>63</v>
      </c>
      <c r="P46" s="52" t="s">
        <v>63</v>
      </c>
      <c r="Q46" s="48"/>
      <c r="R46" s="52" t="s">
        <v>63</v>
      </c>
      <c r="S46" s="52" t="s">
        <v>63</v>
      </c>
    </row>
    <row r="47" spans="2:19" x14ac:dyDescent="0.25">
      <c r="B47" s="53" t="s">
        <v>748</v>
      </c>
      <c r="C47" s="52" t="s">
        <v>63</v>
      </c>
      <c r="D47" s="52" t="s">
        <v>63</v>
      </c>
      <c r="E47" s="48"/>
      <c r="F47" s="52" t="s">
        <v>63</v>
      </c>
      <c r="G47" s="52" t="s">
        <v>63</v>
      </c>
      <c r="H47" s="48"/>
      <c r="I47" s="52" t="s">
        <v>63</v>
      </c>
      <c r="J47" s="52" t="s">
        <v>63</v>
      </c>
      <c r="K47" s="48"/>
      <c r="L47" s="52" t="s">
        <v>63</v>
      </c>
      <c r="M47" s="52" t="s">
        <v>63</v>
      </c>
      <c r="N47" s="48"/>
      <c r="O47" s="52" t="s">
        <v>63</v>
      </c>
      <c r="P47" s="52" t="s">
        <v>63</v>
      </c>
      <c r="Q47" s="48"/>
      <c r="R47" s="52" t="s">
        <v>63</v>
      </c>
      <c r="S47" s="52" t="s">
        <v>704</v>
      </c>
    </row>
    <row r="48" spans="2:19" x14ac:dyDescent="0.25">
      <c r="B48" s="58">
        <v>72</v>
      </c>
      <c r="C48" s="51" t="s">
        <v>63</v>
      </c>
      <c r="D48" s="51" t="s">
        <v>63</v>
      </c>
      <c r="E48" s="59"/>
      <c r="F48" s="51" t="s">
        <v>63</v>
      </c>
      <c r="G48" s="51" t="s">
        <v>63</v>
      </c>
      <c r="H48" s="59"/>
      <c r="I48" s="51" t="s">
        <v>63</v>
      </c>
      <c r="J48" s="51" t="s">
        <v>63</v>
      </c>
      <c r="K48" s="59"/>
      <c r="L48" s="51" t="s">
        <v>63</v>
      </c>
      <c r="M48" s="51" t="s">
        <v>63</v>
      </c>
      <c r="N48" s="59"/>
      <c r="O48" s="51" t="s">
        <v>63</v>
      </c>
      <c r="P48" s="51" t="s">
        <v>63</v>
      </c>
      <c r="Q48" s="59"/>
      <c r="R48" s="51" t="s">
        <v>63</v>
      </c>
      <c r="S48" s="51" t="s">
        <v>63</v>
      </c>
    </row>
    <row r="49" spans="3:19" x14ac:dyDescent="0.25"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</row>
    <row r="50" spans="3:19" x14ac:dyDescent="0.25"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</row>
    <row r="51" spans="3:19" x14ac:dyDescent="0.25"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</row>
    <row r="52" spans="3:19" x14ac:dyDescent="0.25"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</row>
    <row r="53" spans="3:19" x14ac:dyDescent="0.25"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</row>
    <row r="54" spans="3:19" x14ac:dyDescent="0.25"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</row>
    <row r="55" spans="3:19" x14ac:dyDescent="0.25"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</row>
    <row r="56" spans="3:19" x14ac:dyDescent="0.25"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</row>
  </sheetData>
  <mergeCells count="7">
    <mergeCell ref="R2:S2"/>
    <mergeCell ref="B2:B3"/>
    <mergeCell ref="C2:D2"/>
    <mergeCell ref="F2:G2"/>
    <mergeCell ref="I2:J2"/>
    <mergeCell ref="L2:M2"/>
    <mergeCell ref="O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35"/>
  <sheetViews>
    <sheetView workbookViewId="0">
      <selection activeCell="H35" sqref="H35"/>
    </sheetView>
  </sheetViews>
  <sheetFormatPr baseColWidth="10" defaultColWidth="14.42578125" defaultRowHeight="15" x14ac:dyDescent="0.25"/>
  <cols>
    <col min="1" max="2" width="14.42578125" style="49"/>
    <col min="3" max="3" width="13.42578125" style="49" customWidth="1"/>
    <col min="4" max="4" width="8.28515625" style="49" customWidth="1"/>
    <col min="5" max="5" width="7.7109375" style="49" customWidth="1"/>
    <col min="6" max="6" width="7.140625" style="49" customWidth="1"/>
    <col min="7" max="7" width="8.28515625" style="49" customWidth="1"/>
    <col min="8" max="8" width="8.140625" style="49" customWidth="1"/>
    <col min="9" max="9" width="7.140625" style="49" customWidth="1"/>
    <col min="10" max="10" width="11.140625" style="49" customWidth="1"/>
    <col min="11" max="11" width="7.85546875" style="49" customWidth="1"/>
    <col min="12" max="12" width="7.140625" style="49" customWidth="1"/>
    <col min="13" max="13" width="8.28515625" style="49" customWidth="1"/>
    <col min="14" max="14" width="7.85546875" style="49" customWidth="1"/>
    <col min="15" max="15" width="11.140625" style="49" customWidth="1"/>
    <col min="16" max="16" width="8.28515625" style="49" customWidth="1"/>
    <col min="17" max="17" width="7.42578125" style="49" customWidth="1"/>
    <col min="18" max="18" width="7.140625" style="49" customWidth="1"/>
    <col min="19" max="19" width="8.28515625" style="49" customWidth="1"/>
    <col min="20" max="16384" width="14.42578125" style="49"/>
  </cols>
  <sheetData>
    <row r="2" spans="2:21" x14ac:dyDescent="0.25">
      <c r="B2" s="85"/>
      <c r="C2" s="83" t="s">
        <v>14</v>
      </c>
      <c r="D2" s="84"/>
      <c r="E2" s="50"/>
      <c r="F2" s="83" t="s">
        <v>25</v>
      </c>
      <c r="G2" s="84"/>
      <c r="H2" s="50"/>
      <c r="I2" s="83" t="s">
        <v>35</v>
      </c>
      <c r="J2" s="84"/>
      <c r="K2" s="50"/>
      <c r="L2" s="83" t="s">
        <v>42</v>
      </c>
      <c r="M2" s="84"/>
      <c r="N2" s="50"/>
      <c r="O2" s="83" t="s">
        <v>48</v>
      </c>
      <c r="P2" s="84"/>
      <c r="Q2" s="50"/>
      <c r="R2" s="83" t="s">
        <v>54</v>
      </c>
      <c r="S2" s="84"/>
    </row>
    <row r="3" spans="2:21" x14ac:dyDescent="0.25">
      <c r="B3" s="86"/>
      <c r="C3" s="51" t="s">
        <v>732</v>
      </c>
      <c r="D3" s="51" t="s">
        <v>733</v>
      </c>
      <c r="E3" s="51"/>
      <c r="F3" s="51" t="s">
        <v>732</v>
      </c>
      <c r="G3" s="51" t="s">
        <v>733</v>
      </c>
      <c r="H3" s="51"/>
      <c r="I3" s="51" t="s">
        <v>732</v>
      </c>
      <c r="J3" s="51" t="s">
        <v>733</v>
      </c>
      <c r="K3" s="51"/>
      <c r="L3" s="51" t="s">
        <v>732</v>
      </c>
      <c r="M3" s="51" t="s">
        <v>733</v>
      </c>
      <c r="N3" s="51"/>
      <c r="O3" s="51" t="s">
        <v>732</v>
      </c>
      <c r="P3" s="51" t="s">
        <v>733</v>
      </c>
      <c r="Q3" s="51"/>
      <c r="R3" s="51" t="s">
        <v>732</v>
      </c>
      <c r="S3" s="51" t="s">
        <v>733</v>
      </c>
    </row>
    <row r="4" spans="2:21" x14ac:dyDescent="0.25">
      <c r="B4" s="52" t="s">
        <v>12</v>
      </c>
      <c r="C4" s="52" t="s">
        <v>63</v>
      </c>
      <c r="D4" s="55" t="s">
        <v>195</v>
      </c>
      <c r="E4" s="52"/>
      <c r="F4" s="55" t="s">
        <v>163</v>
      </c>
      <c r="G4" s="55" t="s">
        <v>195</v>
      </c>
      <c r="H4" s="52"/>
      <c r="I4" s="55" t="s">
        <v>195</v>
      </c>
      <c r="J4" s="55" t="s">
        <v>734</v>
      </c>
      <c r="K4" s="52"/>
      <c r="L4" s="55" t="s">
        <v>759</v>
      </c>
      <c r="M4" s="55" t="s">
        <v>195</v>
      </c>
      <c r="N4" s="52"/>
      <c r="O4" s="55" t="s">
        <v>734</v>
      </c>
      <c r="P4" s="55" t="s">
        <v>759</v>
      </c>
      <c r="Q4" s="52"/>
      <c r="R4" s="55" t="s">
        <v>163</v>
      </c>
      <c r="S4" s="55" t="s">
        <v>759</v>
      </c>
      <c r="U4" s="57" t="s">
        <v>383</v>
      </c>
    </row>
    <row r="5" spans="2:21" x14ac:dyDescent="0.25">
      <c r="B5" s="53"/>
      <c r="C5" s="52"/>
      <c r="D5" s="55" t="s">
        <v>228</v>
      </c>
      <c r="E5" s="52"/>
      <c r="F5" s="55" t="s">
        <v>292</v>
      </c>
      <c r="G5" s="52"/>
      <c r="H5" s="52"/>
      <c r="I5" s="55" t="s">
        <v>260</v>
      </c>
      <c r="J5" s="60" t="s">
        <v>383</v>
      </c>
      <c r="K5" s="52"/>
      <c r="L5" s="55" t="s">
        <v>163</v>
      </c>
      <c r="M5" s="52"/>
      <c r="N5" s="52"/>
      <c r="O5" s="52"/>
      <c r="P5" s="60" t="s">
        <v>414</v>
      </c>
      <c r="Q5" s="52"/>
      <c r="R5" s="55" t="s">
        <v>292</v>
      </c>
      <c r="S5" s="55" t="s">
        <v>195</v>
      </c>
      <c r="U5" s="57" t="s">
        <v>414</v>
      </c>
    </row>
    <row r="6" spans="2:21" x14ac:dyDescent="0.25">
      <c r="B6" s="53"/>
      <c r="C6" s="52"/>
      <c r="D6" s="55" t="s">
        <v>260</v>
      </c>
      <c r="E6" s="52"/>
      <c r="F6" s="52"/>
      <c r="G6" s="52"/>
      <c r="H6" s="52"/>
      <c r="I6" s="60" t="s">
        <v>414</v>
      </c>
      <c r="J6" s="48"/>
      <c r="K6" s="52"/>
      <c r="L6" s="52"/>
      <c r="M6" s="52"/>
      <c r="N6" s="52"/>
      <c r="O6" s="52"/>
      <c r="P6" s="48"/>
      <c r="Q6" s="52"/>
      <c r="R6" s="60" t="s">
        <v>383</v>
      </c>
      <c r="S6" s="52"/>
    </row>
    <row r="7" spans="2:21" x14ac:dyDescent="0.25">
      <c r="B7" s="53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48"/>
    </row>
    <row r="8" spans="2:21" x14ac:dyDescent="0.25">
      <c r="B8" s="57" t="s">
        <v>734</v>
      </c>
      <c r="C8" s="55" t="s">
        <v>760</v>
      </c>
      <c r="D8" s="55" t="s">
        <v>163</v>
      </c>
      <c r="E8" s="48"/>
      <c r="F8" s="52" t="s">
        <v>63</v>
      </c>
      <c r="G8" s="52" t="s">
        <v>63</v>
      </c>
      <c r="H8" s="48"/>
      <c r="I8" s="60" t="s">
        <v>383</v>
      </c>
      <c r="J8" s="55" t="s">
        <v>195</v>
      </c>
      <c r="K8" s="48"/>
      <c r="L8" s="52" t="s">
        <v>63</v>
      </c>
      <c r="M8" s="48" t="s">
        <v>63</v>
      </c>
      <c r="N8" s="48"/>
      <c r="O8" s="52" t="s">
        <v>63</v>
      </c>
      <c r="P8" s="55" t="s">
        <v>759</v>
      </c>
      <c r="Q8" s="48"/>
      <c r="R8" s="55" t="s">
        <v>228</v>
      </c>
      <c r="S8" s="52" t="s">
        <v>63</v>
      </c>
    </row>
    <row r="9" spans="2:21" x14ac:dyDescent="0.25">
      <c r="D9" s="60" t="s">
        <v>383</v>
      </c>
      <c r="J9" s="55" t="s">
        <v>260</v>
      </c>
      <c r="P9" s="60" t="s">
        <v>414</v>
      </c>
      <c r="R9" s="55" t="s">
        <v>260</v>
      </c>
    </row>
    <row r="10" spans="2:21" x14ac:dyDescent="0.25">
      <c r="J10" s="60" t="s">
        <v>414</v>
      </c>
    </row>
    <row r="12" spans="2:21" x14ac:dyDescent="0.25">
      <c r="B12" s="57" t="s">
        <v>759</v>
      </c>
      <c r="C12" s="55" t="s">
        <v>292</v>
      </c>
      <c r="D12" s="57" t="s">
        <v>63</v>
      </c>
      <c r="F12" s="57" t="s">
        <v>63</v>
      </c>
      <c r="G12" s="57" t="s">
        <v>63</v>
      </c>
      <c r="I12" s="55" t="s">
        <v>444</v>
      </c>
      <c r="J12" s="57" t="s">
        <v>63</v>
      </c>
      <c r="L12" s="55" t="s">
        <v>163</v>
      </c>
      <c r="M12" s="55" t="s">
        <v>195</v>
      </c>
      <c r="O12" s="60" t="s">
        <v>414</v>
      </c>
      <c r="P12" s="57" t="s">
        <v>63</v>
      </c>
      <c r="R12" s="55" t="s">
        <v>195</v>
      </c>
      <c r="S12" s="55" t="s">
        <v>163</v>
      </c>
    </row>
    <row r="13" spans="2:21" x14ac:dyDescent="0.25">
      <c r="S13" s="55" t="s">
        <v>292</v>
      </c>
    </row>
    <row r="14" spans="2:21" x14ac:dyDescent="0.25">
      <c r="S14" s="60" t="s">
        <v>383</v>
      </c>
    </row>
    <row r="16" spans="2:21" x14ac:dyDescent="0.25">
      <c r="B16" s="57" t="s">
        <v>760</v>
      </c>
      <c r="C16" s="57" t="s">
        <v>63</v>
      </c>
      <c r="D16" s="55" t="s">
        <v>163</v>
      </c>
      <c r="F16" s="57" t="s">
        <v>63</v>
      </c>
      <c r="G16" s="57" t="s">
        <v>63</v>
      </c>
      <c r="I16" s="55" t="s">
        <v>163</v>
      </c>
      <c r="J16" s="57" t="s">
        <v>63</v>
      </c>
      <c r="L16" s="57" t="s">
        <v>63</v>
      </c>
      <c r="M16" s="57" t="s">
        <v>63</v>
      </c>
      <c r="O16" s="55" t="s">
        <v>163</v>
      </c>
      <c r="P16" s="55" t="s">
        <v>195</v>
      </c>
      <c r="R16" s="60" t="s">
        <v>673</v>
      </c>
      <c r="S16" s="57" t="s">
        <v>63</v>
      </c>
      <c r="U16" s="57" t="s">
        <v>704</v>
      </c>
    </row>
    <row r="17" spans="2:21" x14ac:dyDescent="0.25">
      <c r="D17" s="60" t="s">
        <v>383</v>
      </c>
      <c r="I17" s="55" t="s">
        <v>228</v>
      </c>
      <c r="O17" s="55" t="s">
        <v>228</v>
      </c>
      <c r="U17" s="57" t="s">
        <v>673</v>
      </c>
    </row>
    <row r="18" spans="2:21" x14ac:dyDescent="0.25">
      <c r="I18" s="55" t="s">
        <v>292</v>
      </c>
      <c r="O18" s="55" t="s">
        <v>292</v>
      </c>
    </row>
    <row r="19" spans="2:21" x14ac:dyDescent="0.25">
      <c r="I19" s="60" t="s">
        <v>704</v>
      </c>
    </row>
    <row r="21" spans="2:21" x14ac:dyDescent="0.25">
      <c r="B21" s="57" t="s">
        <v>163</v>
      </c>
      <c r="C21" s="60" t="s">
        <v>383</v>
      </c>
      <c r="D21" s="57" t="s">
        <v>63</v>
      </c>
      <c r="F21" s="55" t="s">
        <v>292</v>
      </c>
      <c r="G21" s="55" t="s">
        <v>195</v>
      </c>
      <c r="I21" s="55" t="s">
        <v>228</v>
      </c>
      <c r="J21" s="57" t="s">
        <v>63</v>
      </c>
      <c r="L21" s="57" t="s">
        <v>63</v>
      </c>
      <c r="M21" s="55" t="s">
        <v>195</v>
      </c>
      <c r="O21" s="55" t="s">
        <v>228</v>
      </c>
      <c r="P21" s="55" t="s">
        <v>195</v>
      </c>
      <c r="R21" s="55" t="s">
        <v>292</v>
      </c>
      <c r="S21" s="55" t="s">
        <v>195</v>
      </c>
    </row>
    <row r="22" spans="2:21" x14ac:dyDescent="0.25">
      <c r="I22" s="55" t="s">
        <v>292</v>
      </c>
      <c r="O22" s="55" t="s">
        <v>292</v>
      </c>
      <c r="R22" s="60" t="s">
        <v>383</v>
      </c>
    </row>
    <row r="23" spans="2:21" x14ac:dyDescent="0.25">
      <c r="I23" s="60" t="s">
        <v>704</v>
      </c>
    </row>
    <row r="25" spans="2:21" x14ac:dyDescent="0.25">
      <c r="B25" s="57" t="s">
        <v>195</v>
      </c>
      <c r="C25" s="55" t="s">
        <v>228</v>
      </c>
      <c r="D25" s="57" t="s">
        <v>63</v>
      </c>
      <c r="F25" s="57" t="s">
        <v>63</v>
      </c>
      <c r="G25" s="55" t="s">
        <v>292</v>
      </c>
      <c r="I25" s="55" t="s">
        <v>260</v>
      </c>
      <c r="J25" s="60" t="s">
        <v>383</v>
      </c>
      <c r="L25" s="57" t="s">
        <v>63</v>
      </c>
      <c r="M25" s="57" t="s">
        <v>63</v>
      </c>
      <c r="O25" s="57" t="s">
        <v>63</v>
      </c>
      <c r="P25" s="55" t="s">
        <v>228</v>
      </c>
      <c r="R25" s="57" t="s">
        <v>63</v>
      </c>
      <c r="S25" s="55" t="s">
        <v>292</v>
      </c>
    </row>
    <row r="26" spans="2:21" x14ac:dyDescent="0.25">
      <c r="C26" s="55" t="s">
        <v>260</v>
      </c>
      <c r="I26" s="60" t="s">
        <v>414</v>
      </c>
      <c r="P26" s="55" t="s">
        <v>292</v>
      </c>
      <c r="S26" s="60" t="s">
        <v>383</v>
      </c>
    </row>
    <row r="28" spans="2:21" x14ac:dyDescent="0.25">
      <c r="B28" s="57" t="s">
        <v>228</v>
      </c>
      <c r="C28" s="55" t="s">
        <v>260</v>
      </c>
      <c r="D28" s="57" t="s">
        <v>63</v>
      </c>
      <c r="F28" s="60" t="s">
        <v>470</v>
      </c>
      <c r="G28" s="55" t="s">
        <v>260</v>
      </c>
      <c r="I28" s="55" t="s">
        <v>292</v>
      </c>
      <c r="J28" s="57" t="s">
        <v>63</v>
      </c>
      <c r="L28" s="55" t="s">
        <v>292</v>
      </c>
      <c r="M28" s="60" t="s">
        <v>383</v>
      </c>
      <c r="O28" s="55" t="s">
        <v>292</v>
      </c>
      <c r="P28" s="57" t="s">
        <v>63</v>
      </c>
      <c r="R28" s="55" t="s">
        <v>260</v>
      </c>
      <c r="S28" s="57" t="s">
        <v>63</v>
      </c>
      <c r="U28" s="57" t="s">
        <v>470</v>
      </c>
    </row>
    <row r="29" spans="2:21" x14ac:dyDescent="0.25">
      <c r="I29" s="60" t="s">
        <v>704</v>
      </c>
      <c r="L29" s="60" t="s">
        <v>414</v>
      </c>
    </row>
    <row r="31" spans="2:21" x14ac:dyDescent="0.25">
      <c r="B31" s="57" t="s">
        <v>260</v>
      </c>
      <c r="C31" s="57" t="s">
        <v>63</v>
      </c>
      <c r="D31" s="57" t="s">
        <v>63</v>
      </c>
      <c r="F31" s="57" t="s">
        <v>63</v>
      </c>
      <c r="G31" s="60" t="s">
        <v>470</v>
      </c>
      <c r="I31" s="60" t="s">
        <v>414</v>
      </c>
      <c r="J31" s="60" t="s">
        <v>383</v>
      </c>
      <c r="L31" s="57" t="s">
        <v>63</v>
      </c>
      <c r="M31" s="57" t="s">
        <v>63</v>
      </c>
      <c r="O31" s="57" t="s">
        <v>63</v>
      </c>
      <c r="P31" s="57" t="s">
        <v>63</v>
      </c>
      <c r="R31" s="57" t="s">
        <v>63</v>
      </c>
      <c r="S31" s="57" t="s">
        <v>63</v>
      </c>
    </row>
    <row r="33" spans="2:19" x14ac:dyDescent="0.25">
      <c r="B33" s="57" t="s">
        <v>292</v>
      </c>
      <c r="C33" s="57" t="s">
        <v>63</v>
      </c>
      <c r="D33" s="57" t="s">
        <v>63</v>
      </c>
      <c r="F33" s="57" t="s">
        <v>63</v>
      </c>
      <c r="G33" s="57" t="s">
        <v>63</v>
      </c>
      <c r="I33" s="60" t="s">
        <v>704</v>
      </c>
      <c r="J33" s="57" t="s">
        <v>63</v>
      </c>
      <c r="L33" s="60" t="s">
        <v>414</v>
      </c>
      <c r="M33" s="60" t="s">
        <v>383</v>
      </c>
      <c r="O33" s="57" t="s">
        <v>63</v>
      </c>
      <c r="P33" s="57" t="s">
        <v>63</v>
      </c>
      <c r="R33" s="60" t="s">
        <v>383</v>
      </c>
      <c r="S33" s="57" t="s">
        <v>63</v>
      </c>
    </row>
    <row r="35" spans="2:19" x14ac:dyDescent="0.25">
      <c r="B35" s="58" t="s">
        <v>383</v>
      </c>
      <c r="C35" s="58" t="s">
        <v>63</v>
      </c>
      <c r="D35" s="58" t="s">
        <v>63</v>
      </c>
      <c r="E35" s="61"/>
      <c r="F35" s="58" t="s">
        <v>63</v>
      </c>
      <c r="G35" s="58" t="s">
        <v>63</v>
      </c>
      <c r="H35" s="61"/>
      <c r="I35" s="58" t="s">
        <v>63</v>
      </c>
      <c r="J35" s="62" t="s">
        <v>414</v>
      </c>
      <c r="K35" s="61"/>
      <c r="L35" s="58" t="s">
        <v>63</v>
      </c>
      <c r="M35" s="62" t="s">
        <v>414</v>
      </c>
      <c r="N35" s="61"/>
      <c r="O35" s="58" t="s">
        <v>63</v>
      </c>
      <c r="P35" s="58" t="s">
        <v>63</v>
      </c>
      <c r="Q35" s="61"/>
      <c r="R35" s="58" t="s">
        <v>63</v>
      </c>
      <c r="S35" s="58" t="s">
        <v>63</v>
      </c>
    </row>
  </sheetData>
  <mergeCells count="7">
    <mergeCell ref="R2:S2"/>
    <mergeCell ref="B2:B3"/>
    <mergeCell ref="C2:D2"/>
    <mergeCell ref="F2:G2"/>
    <mergeCell ref="I2:J2"/>
    <mergeCell ref="L2:M2"/>
    <mergeCell ref="O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Checkpoints</vt:lpstr>
      <vt:lpstr>Spearman checkpoints</vt:lpstr>
      <vt:lpstr>Cytokines</vt:lpstr>
      <vt:lpstr>Spearman Cytokines</vt:lpstr>
      <vt:lpstr>Spearman 72 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Sofia-Gamer</dc:creator>
  <cp:lastModifiedBy>Sofia-Gamer</cp:lastModifiedBy>
  <dcterms:created xsi:type="dcterms:W3CDTF">2026-10-22T15:19:25Z</dcterms:created>
  <dcterms:modified xsi:type="dcterms:W3CDTF">2026-10-22T16:47:28Z</dcterms:modified>
</cp:coreProperties>
</file>
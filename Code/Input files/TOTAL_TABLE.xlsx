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i\Documentos\TESIS MAESTRÍA\DATOS sEVs y sHLA-G\Traducción a inglés\"/>
    </mc:Choice>
  </mc:AlternateContent>
  <bookViews>
    <workbookView xWindow="0" yWindow="0" windowWidth="25125" windowHeight="12210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P46" i="1" l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<sst xmlns="http://schemas.openxmlformats.org/spreadsheetml/2006/main" count="511" uniqueCount="107">
  <si>
    <t>Helicobacter_pylori</t>
  </si>
  <si>
    <t>TNM</t>
  </si>
  <si>
    <t>Fraction_number</t>
  </si>
  <si>
    <t>003-3</t>
  </si>
  <si>
    <t>M</t>
  </si>
  <si>
    <t>NA</t>
  </si>
  <si>
    <t>No_data</t>
  </si>
  <si>
    <t>Healthy</t>
  </si>
  <si>
    <t>007-3</t>
  </si>
  <si>
    <t>F</t>
  </si>
  <si>
    <t>009-3</t>
  </si>
  <si>
    <t>011-3</t>
  </si>
  <si>
    <t>019-3</t>
  </si>
  <si>
    <t>200-2</t>
  </si>
  <si>
    <t>98-2</t>
  </si>
  <si>
    <t>3 - 2</t>
  </si>
  <si>
    <t>95-2</t>
  </si>
  <si>
    <t>4 - 2</t>
  </si>
  <si>
    <t>No data</t>
  </si>
  <si>
    <t>282-2</t>
  </si>
  <si>
    <t>64-2</t>
  </si>
  <si>
    <t>301-2</t>
  </si>
  <si>
    <t>174-2</t>
  </si>
  <si>
    <t>188-2</t>
  </si>
  <si>
    <t>57-2</t>
  </si>
  <si>
    <t>244-2</t>
  </si>
  <si>
    <t>229-2</t>
  </si>
  <si>
    <t>243-2</t>
  </si>
  <si>
    <t>253-2</t>
  </si>
  <si>
    <t>228-2</t>
  </si>
  <si>
    <t>270-2</t>
  </si>
  <si>
    <t>139-2</t>
  </si>
  <si>
    <t>211-2</t>
  </si>
  <si>
    <t>310-2</t>
  </si>
  <si>
    <t>103-1</t>
  </si>
  <si>
    <t>No</t>
  </si>
  <si>
    <t>TxN0M0</t>
  </si>
  <si>
    <t>111-1</t>
  </si>
  <si>
    <t>Intestinal</t>
  </si>
  <si>
    <t>T2N0M0</t>
  </si>
  <si>
    <t>112-1</t>
  </si>
  <si>
    <t>T1N0M0</t>
  </si>
  <si>
    <t>177-1</t>
  </si>
  <si>
    <t>T1aNXMX</t>
  </si>
  <si>
    <t>179-1</t>
  </si>
  <si>
    <t>T1M0N0</t>
  </si>
  <si>
    <t>178-1</t>
  </si>
  <si>
    <t>T4aNxMo</t>
  </si>
  <si>
    <t>093-1</t>
  </si>
  <si>
    <t>T4N0M0</t>
  </si>
  <si>
    <t>050-1</t>
  </si>
  <si>
    <t>T3N1M0</t>
  </si>
  <si>
    <t>170-1</t>
  </si>
  <si>
    <t>T4N3M0</t>
  </si>
  <si>
    <t>182-1</t>
  </si>
  <si>
    <t>T3N0M0</t>
  </si>
  <si>
    <t>109-1</t>
  </si>
  <si>
    <t>T3N2M0</t>
  </si>
  <si>
    <t>107-1</t>
  </si>
  <si>
    <t>124-1</t>
  </si>
  <si>
    <t>099-1</t>
  </si>
  <si>
    <t>T3N3M0</t>
  </si>
  <si>
    <t>096-1</t>
  </si>
  <si>
    <t>T4N2Mx</t>
  </si>
  <si>
    <t>145-1</t>
  </si>
  <si>
    <t>TxNxM1</t>
  </si>
  <si>
    <t>176-1</t>
  </si>
  <si>
    <t>T4BN2M1</t>
  </si>
  <si>
    <t>115-1</t>
  </si>
  <si>
    <t>T4N1M1</t>
  </si>
  <si>
    <t>108-1</t>
  </si>
  <si>
    <t>100-1</t>
  </si>
  <si>
    <t>Patient_ID</t>
  </si>
  <si>
    <t>Sex</t>
  </si>
  <si>
    <t>Age</t>
  </si>
  <si>
    <t>Malignant_pathology_type</t>
  </si>
  <si>
    <t>Differentiation_grade</t>
  </si>
  <si>
    <t>Lymph_node_involvement</t>
  </si>
  <si>
    <t>Tumor_location</t>
  </si>
  <si>
    <t>Metastatic_involvement</t>
  </si>
  <si>
    <t>Stage</t>
  </si>
  <si>
    <t>sHLA-G_level (ng/mL)</t>
  </si>
  <si>
    <t>Vital_status</t>
  </si>
  <si>
    <t>Highest_concentration (µg/mL)</t>
  </si>
  <si>
    <t>Particles/mL</t>
  </si>
  <si>
    <t>Absent</t>
  </si>
  <si>
    <t>Chronic_gastritis</t>
  </si>
  <si>
    <t>Chronic_gastritis_(metaplasia)</t>
  </si>
  <si>
    <t>Peptic_ulcer</t>
  </si>
  <si>
    <t>Diffuse</t>
  </si>
  <si>
    <t>Gastroesophageal_junction</t>
  </si>
  <si>
    <t>Stage_I</t>
  </si>
  <si>
    <t>Deceased</t>
  </si>
  <si>
    <t>Moderately_differentiated</t>
  </si>
  <si>
    <t>Cardia_and_body</t>
  </si>
  <si>
    <t>Alive</t>
  </si>
  <si>
    <t>Mixed</t>
  </si>
  <si>
    <t>Body</t>
  </si>
  <si>
    <t>Poorly_differentiated</t>
  </si>
  <si>
    <t>Body_and_antrum</t>
  </si>
  <si>
    <t>Yes</t>
  </si>
  <si>
    <t>Antrum_and_pylorus</t>
  </si>
  <si>
    <t>Stage_II</t>
  </si>
  <si>
    <t>Stage_III</t>
  </si>
  <si>
    <t>Cardia</t>
  </si>
  <si>
    <t>Well_differentiated</t>
  </si>
  <si>
    <t>Stage_IV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</si>
</sst>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164" fontId="2" fillId="0" borderId="2" xfId="0" applyNumberFormat="1" applyFont="1" applyBorder="1" applyAlignment="1"/>
    <xf numFmtId="11" fontId="2" fillId="0" borderId="2" xfId="0" applyNumberFormat="1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164" fontId="2" fillId="0" borderId="0" xfId="0" applyNumberFormat="1" applyFont="1" applyBorder="1" applyAlignment="1"/>
    <xf numFmtId="11" fontId="2" fillId="0" borderId="0" xfId="0" applyNumberFormat="1" applyFont="1" applyBorder="1"/>
    <xf numFmtId="0" fontId="2" fillId="0" borderId="3" xfId="0" applyFont="1" applyBorder="1" applyAlignment="1"/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164" fontId="2" fillId="0" borderId="3" xfId="0" applyNumberFormat="1" applyFont="1" applyBorder="1" applyAlignment="1"/>
    <xf numFmtId="11" fontId="2" fillId="0" borderId="3" xfId="0" applyNumberFormat="1" applyFont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164" fontId="2" fillId="0" borderId="0" xfId="0" applyNumberFormat="1" applyFont="1" applyFill="1" applyBorder="1" applyAlignment="1"/>
    <xf numFmtId="11" fontId="2" fillId="0" borderId="0" xfId="0" applyNumberFormat="1" applyFont="1" applyFill="1" applyBorder="1"/>
    <xf numFmtId="0" fontId="2" fillId="0" borderId="3" xfId="0" applyFont="1" applyFill="1" applyBorder="1" applyAlignment="1"/>
    <xf numFmtId="0" fontId="2" fillId="0" borderId="3" xfId="0" applyFont="1" applyFill="1" applyBorder="1" applyAlignment="1">
      <alignment horizontal="right"/>
    </xf>
    <xf numFmtId="164" fontId="2" fillId="0" borderId="3" xfId="0" applyNumberFormat="1" applyFont="1" applyFill="1" applyBorder="1" applyAlignment="1"/>
    <xf numFmtId="11" fontId="2" fillId="0" borderId="3" xfId="0" applyNumberFormat="1" applyFont="1" applyFill="1" applyBorder="1"/>
    <xf numFmtId="0" fontId="2" fillId="0" borderId="2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164" fontId="2" fillId="0" borderId="2" xfId="0" applyNumberFormat="1" applyFont="1" applyFill="1" applyBorder="1" applyAlignment="1">
      <alignment horizontal="right"/>
    </xf>
    <xf numFmtId="11" fontId="2" fillId="0" borderId="2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right"/>
    </xf>
    <xf numFmtId="11" fontId="2" fillId="0" borderId="0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right" wrapText="1"/>
    </xf>
    <xf numFmtId="0" fontId="2" fillId="0" borderId="3" xfId="0" applyFont="1" applyFill="1" applyBorder="1" applyAlignment="1">
      <alignment horizontal="left" vertical="top" wrapText="1"/>
    </xf>
    <xf numFmtId="164" fontId="2" fillId="0" borderId="3" xfId="0" applyNumberFormat="1" applyFont="1" applyFill="1" applyBorder="1" applyAlignment="1">
      <alignment horizontal="right"/>
    </xf>
    <xf numFmtId="11" fontId="2" fillId="0" borderId="3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workbookViewId="0">
      <selection activeCell="F7" sqref="F7"/>
    </sheetView>
  </sheetViews>
  <sheetFormatPr baseColWidth="10" defaultRowHeight="15.75" x14ac:dyDescent="0.25"/>
  <cols>
    <col min="1" max="1" width="17.28515625" style="6" customWidth="1"/>
    <col min="2" max="3" width="11.42578125" style="6"/>
    <col min="4" max="4" width="28.28515625" style="6" customWidth="1"/>
    <col min="5" max="5" width="12.85546875" style="6" customWidth="1"/>
    <col min="6" max="6" width="29.7109375" style="6" customWidth="1"/>
    <col min="7" max="7" width="11.42578125" style="6"/>
    <col min="8" max="8" width="23" style="6" customWidth="1"/>
    <col min="9" max="9" width="13.5703125" style="6" customWidth="1"/>
    <col min="10" max="10" width="11.42578125" style="6"/>
    <col min="11" max="11" width="30" style="6" customWidth="1"/>
    <col min="12" max="12" width="11.42578125" style="6"/>
    <col min="13" max="13" width="15" style="6" customWidth="1"/>
    <col min="14" max="14" width="18.28515625" style="6" customWidth="1"/>
    <col min="15" max="15" width="41" style="6" customWidth="1"/>
    <col min="16" max="16" width="12.7109375" style="6" customWidth="1"/>
    <col min="17" max="16384" width="11.42578125" style="6"/>
  </cols>
  <sheetData>
    <row r="1" spans="1:16" ht="47.25" x14ac:dyDescent="0.25">
      <c r="A1" s="1" t="s">
        <v>72</v>
      </c>
      <c r="B1" s="2" t="s">
        <v>73</v>
      </c>
      <c r="C1" s="1" t="s">
        <v>74</v>
      </c>
      <c r="D1" s="1" t="s">
        <v>75</v>
      </c>
      <c r="E1" s="1" t="s">
        <v>0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</v>
      </c>
      <c r="K1" s="1" t="s">
        <v>80</v>
      </c>
      <c r="L1" s="2" t="s">
        <v>81</v>
      </c>
      <c r="M1" s="3" t="s">
        <v>82</v>
      </c>
      <c r="N1" s="4" t="s">
        <v>2</v>
      </c>
      <c r="O1" s="4" t="s">
        <v>83</v>
      </c>
      <c r="P1" s="5" t="s">
        <v>84</v>
      </c>
    </row>
    <row r="2" spans="1:16" x14ac:dyDescent="0.25">
      <c r="A2" s="7" t="s">
        <v>3</v>
      </c>
      <c r="B2" s="7" t="s">
        <v>4</v>
      </c>
      <c r="C2" s="8">
        <v>26</v>
      </c>
      <c r="D2" s="7" t="s">
        <v>5</v>
      </c>
      <c r="E2" s="7" t="s">
        <v>6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9" t="s">
        <v>7</v>
      </c>
      <c r="L2" s="8">
        <v>38.590000000000003</v>
      </c>
      <c r="M2" s="7" t="s">
        <v>5</v>
      </c>
      <c r="N2" s="7">
        <v>6</v>
      </c>
      <c r="O2" s="10">
        <v>14.177</v>
      </c>
      <c r="P2" s="11">
        <f>(O2 / 2) * 10000000000</f>
        <v>70885000000</v>
      </c>
    </row>
    <row r="3" spans="1:16" x14ac:dyDescent="0.25">
      <c r="A3" s="12" t="s">
        <v>8</v>
      </c>
      <c r="B3" s="12" t="s">
        <v>9</v>
      </c>
      <c r="C3" s="13">
        <v>47</v>
      </c>
      <c r="D3" s="12" t="s">
        <v>5</v>
      </c>
      <c r="E3" s="12" t="s">
        <v>6</v>
      </c>
      <c r="F3" s="12" t="s">
        <v>5</v>
      </c>
      <c r="G3" s="12" t="s">
        <v>5</v>
      </c>
      <c r="H3" s="12" t="s">
        <v>5</v>
      </c>
      <c r="I3" s="12" t="s">
        <v>5</v>
      </c>
      <c r="J3" s="12" t="s">
        <v>5</v>
      </c>
      <c r="K3" s="14" t="s">
        <v>7</v>
      </c>
      <c r="L3" s="13">
        <v>56.42</v>
      </c>
      <c r="M3" s="12" t="s">
        <v>5</v>
      </c>
      <c r="N3" s="12">
        <v>6</v>
      </c>
      <c r="O3" s="15">
        <v>5.1360000000000001</v>
      </c>
      <c r="P3" s="16">
        <f t="shared" ref="P3:P6" si="0">(O3 / 2) * 10000000000</f>
        <v>25680000000</v>
      </c>
    </row>
    <row r="4" spans="1:16" x14ac:dyDescent="0.25">
      <c r="A4" s="12" t="s">
        <v>10</v>
      </c>
      <c r="B4" s="12" t="s">
        <v>9</v>
      </c>
      <c r="C4" s="13">
        <v>37</v>
      </c>
      <c r="D4" s="12" t="s">
        <v>5</v>
      </c>
      <c r="E4" s="12" t="s">
        <v>6</v>
      </c>
      <c r="F4" s="12" t="s">
        <v>5</v>
      </c>
      <c r="G4" s="12" t="s">
        <v>5</v>
      </c>
      <c r="H4" s="12" t="s">
        <v>5</v>
      </c>
      <c r="I4" s="12" t="s">
        <v>5</v>
      </c>
      <c r="J4" s="12" t="s">
        <v>5</v>
      </c>
      <c r="K4" s="14" t="s">
        <v>7</v>
      </c>
      <c r="L4" s="13">
        <v>72.099999999999994</v>
      </c>
      <c r="M4" s="12" t="s">
        <v>5</v>
      </c>
      <c r="N4" s="12">
        <v>6</v>
      </c>
      <c r="O4" s="15">
        <v>8.3559999999999999</v>
      </c>
      <c r="P4" s="16">
        <f t="shared" si="0"/>
        <v>41780000000</v>
      </c>
    </row>
    <row r="5" spans="1:16" x14ac:dyDescent="0.25">
      <c r="A5" s="12" t="s">
        <v>11</v>
      </c>
      <c r="B5" s="12" t="s">
        <v>4</v>
      </c>
      <c r="C5" s="13">
        <v>28</v>
      </c>
      <c r="D5" s="12" t="s">
        <v>5</v>
      </c>
      <c r="E5" s="12" t="s">
        <v>6</v>
      </c>
      <c r="F5" s="12" t="s">
        <v>5</v>
      </c>
      <c r="G5" s="12" t="s">
        <v>5</v>
      </c>
      <c r="H5" s="12" t="s">
        <v>5</v>
      </c>
      <c r="I5" s="12" t="s">
        <v>5</v>
      </c>
      <c r="J5" s="12" t="s">
        <v>5</v>
      </c>
      <c r="K5" s="14" t="s">
        <v>7</v>
      </c>
      <c r="L5" s="13">
        <v>66.22</v>
      </c>
      <c r="M5" s="12" t="s">
        <v>5</v>
      </c>
      <c r="N5" s="12">
        <v>6</v>
      </c>
      <c r="O5" s="15">
        <v>4.7039999999999997</v>
      </c>
      <c r="P5" s="16">
        <f t="shared" si="0"/>
        <v>23520000000</v>
      </c>
    </row>
    <row r="6" spans="1:16" x14ac:dyDescent="0.25">
      <c r="A6" s="17" t="s">
        <v>12</v>
      </c>
      <c r="B6" s="17" t="s">
        <v>9</v>
      </c>
      <c r="C6" s="18">
        <v>56</v>
      </c>
      <c r="D6" s="17" t="s">
        <v>5</v>
      </c>
      <c r="E6" s="17" t="s">
        <v>6</v>
      </c>
      <c r="F6" s="17" t="s">
        <v>5</v>
      </c>
      <c r="G6" s="17" t="s">
        <v>5</v>
      </c>
      <c r="H6" s="17" t="s">
        <v>5</v>
      </c>
      <c r="I6" s="17" t="s">
        <v>5</v>
      </c>
      <c r="J6" s="17" t="s">
        <v>5</v>
      </c>
      <c r="K6" s="19" t="s">
        <v>7</v>
      </c>
      <c r="L6" s="18">
        <v>36.270000000000003</v>
      </c>
      <c r="M6" s="17" t="s">
        <v>5</v>
      </c>
      <c r="N6" s="17">
        <v>6</v>
      </c>
      <c r="O6" s="20">
        <v>3.802</v>
      </c>
      <c r="P6" s="21">
        <f t="shared" si="0"/>
        <v>19010000000</v>
      </c>
    </row>
    <row r="7" spans="1:16" x14ac:dyDescent="0.25">
      <c r="A7" s="22" t="s">
        <v>13</v>
      </c>
      <c r="B7" s="22" t="s">
        <v>4</v>
      </c>
      <c r="C7" s="23">
        <v>60</v>
      </c>
      <c r="D7" s="12" t="s">
        <v>5</v>
      </c>
      <c r="E7" s="22" t="s">
        <v>85</v>
      </c>
      <c r="F7" s="12" t="s">
        <v>5</v>
      </c>
      <c r="G7" s="12" t="s">
        <v>5</v>
      </c>
      <c r="H7" s="12" t="s">
        <v>5</v>
      </c>
      <c r="I7" s="12" t="s">
        <v>5</v>
      </c>
      <c r="J7" s="12" t="s">
        <v>5</v>
      </c>
      <c r="K7" s="22" t="s">
        <v>86</v>
      </c>
      <c r="L7" s="23">
        <v>0.53</v>
      </c>
      <c r="M7" s="12" t="s">
        <v>5</v>
      </c>
      <c r="N7" s="22">
        <v>6</v>
      </c>
      <c r="O7" s="24">
        <v>6.3529999999999998</v>
      </c>
      <c r="P7" s="25">
        <f>(O7 / 2) * 10000000000</f>
        <v>31765000000</v>
      </c>
    </row>
    <row r="8" spans="1:16" x14ac:dyDescent="0.25">
      <c r="A8" s="22" t="s">
        <v>14</v>
      </c>
      <c r="B8" s="22" t="s">
        <v>4</v>
      </c>
      <c r="C8" s="23">
        <v>88</v>
      </c>
      <c r="D8" s="12" t="s">
        <v>5</v>
      </c>
      <c r="E8" s="22" t="s">
        <v>85</v>
      </c>
      <c r="F8" s="12" t="s">
        <v>5</v>
      </c>
      <c r="G8" s="12" t="s">
        <v>5</v>
      </c>
      <c r="H8" s="12" t="s">
        <v>5</v>
      </c>
      <c r="I8" s="12" t="s">
        <v>5</v>
      </c>
      <c r="J8" s="12" t="s">
        <v>5</v>
      </c>
      <c r="K8" s="22" t="s">
        <v>86</v>
      </c>
      <c r="L8" s="23">
        <v>22.3</v>
      </c>
      <c r="M8" s="12" t="s">
        <v>5</v>
      </c>
      <c r="N8" s="22">
        <v>6</v>
      </c>
      <c r="O8" s="24">
        <v>4.319</v>
      </c>
      <c r="P8" s="25">
        <f t="shared" ref="P8:P26" si="1">(O8 / 2) * 10000000000</f>
        <v>21595000000</v>
      </c>
    </row>
    <row r="9" spans="1:16" x14ac:dyDescent="0.25">
      <c r="A9" s="22" t="s">
        <v>15</v>
      </c>
      <c r="B9" s="22" t="s">
        <v>4</v>
      </c>
      <c r="C9" s="23">
        <v>70</v>
      </c>
      <c r="D9" s="12" t="s">
        <v>5</v>
      </c>
      <c r="E9" s="22" t="s">
        <v>85</v>
      </c>
      <c r="F9" s="12" t="s">
        <v>5</v>
      </c>
      <c r="G9" s="12" t="s">
        <v>5</v>
      </c>
      <c r="H9" s="12" t="s">
        <v>5</v>
      </c>
      <c r="I9" s="12" t="s">
        <v>5</v>
      </c>
      <c r="J9" s="12" t="s">
        <v>5</v>
      </c>
      <c r="K9" s="22" t="s">
        <v>86</v>
      </c>
      <c r="L9" s="23">
        <v>3.33</v>
      </c>
      <c r="M9" s="12" t="s">
        <v>5</v>
      </c>
      <c r="N9" s="22">
        <v>6</v>
      </c>
      <c r="O9" s="24">
        <v>2.2610000000000001</v>
      </c>
      <c r="P9" s="25">
        <f t="shared" si="1"/>
        <v>11305000000</v>
      </c>
    </row>
    <row r="10" spans="1:16" x14ac:dyDescent="0.25">
      <c r="A10" s="22" t="s">
        <v>16</v>
      </c>
      <c r="B10" s="22" t="s">
        <v>9</v>
      </c>
      <c r="C10" s="23">
        <v>56</v>
      </c>
      <c r="D10" s="12" t="s">
        <v>5</v>
      </c>
      <c r="E10" s="22" t="s">
        <v>85</v>
      </c>
      <c r="F10" s="12" t="s">
        <v>5</v>
      </c>
      <c r="G10" s="12" t="s">
        <v>5</v>
      </c>
      <c r="H10" s="12" t="s">
        <v>5</v>
      </c>
      <c r="I10" s="12" t="s">
        <v>5</v>
      </c>
      <c r="J10" s="12" t="s">
        <v>5</v>
      </c>
      <c r="K10" s="22" t="s">
        <v>87</v>
      </c>
      <c r="L10" s="23">
        <v>36.39</v>
      </c>
      <c r="M10" s="12" t="s">
        <v>5</v>
      </c>
      <c r="N10" s="22">
        <v>6</v>
      </c>
      <c r="O10" s="24">
        <v>17.681000000000001</v>
      </c>
      <c r="P10" s="25">
        <f t="shared" si="1"/>
        <v>88405000000</v>
      </c>
    </row>
    <row r="11" spans="1:16" x14ac:dyDescent="0.25">
      <c r="A11" s="22" t="s">
        <v>17</v>
      </c>
      <c r="B11" s="22" t="s">
        <v>9</v>
      </c>
      <c r="C11" s="23">
        <v>27</v>
      </c>
      <c r="D11" s="12" t="s">
        <v>5</v>
      </c>
      <c r="E11" s="22" t="s">
        <v>18</v>
      </c>
      <c r="F11" s="12" t="s">
        <v>5</v>
      </c>
      <c r="G11" s="12" t="s">
        <v>5</v>
      </c>
      <c r="H11" s="12" t="s">
        <v>5</v>
      </c>
      <c r="I11" s="12" t="s">
        <v>5</v>
      </c>
      <c r="J11" s="12" t="s">
        <v>5</v>
      </c>
      <c r="K11" s="22" t="s">
        <v>86</v>
      </c>
      <c r="L11" s="23">
        <v>3.43</v>
      </c>
      <c r="M11" s="12" t="s">
        <v>5</v>
      </c>
      <c r="N11" s="22">
        <v>7</v>
      </c>
      <c r="O11" s="24">
        <v>5.4850000000000003</v>
      </c>
      <c r="P11" s="25">
        <f t="shared" si="1"/>
        <v>27425000000</v>
      </c>
    </row>
    <row r="12" spans="1:16" x14ac:dyDescent="0.25">
      <c r="A12" s="22" t="s">
        <v>19</v>
      </c>
      <c r="B12" s="22" t="s">
        <v>4</v>
      </c>
      <c r="C12" s="23">
        <v>61</v>
      </c>
      <c r="D12" s="12" t="s">
        <v>5</v>
      </c>
      <c r="E12" s="22" t="s">
        <v>85</v>
      </c>
      <c r="F12" s="12" t="s">
        <v>5</v>
      </c>
      <c r="G12" s="12" t="s">
        <v>5</v>
      </c>
      <c r="H12" s="12" t="s">
        <v>5</v>
      </c>
      <c r="I12" s="12" t="s">
        <v>5</v>
      </c>
      <c r="J12" s="12" t="s">
        <v>5</v>
      </c>
      <c r="K12" s="22" t="s">
        <v>87</v>
      </c>
      <c r="L12" s="23">
        <v>7.423</v>
      </c>
      <c r="M12" s="12" t="s">
        <v>5</v>
      </c>
      <c r="N12" s="22">
        <v>5</v>
      </c>
      <c r="O12" s="24">
        <v>10.972</v>
      </c>
      <c r="P12" s="25">
        <f t="shared" si="1"/>
        <v>54860000000</v>
      </c>
    </row>
    <row r="13" spans="1:16" x14ac:dyDescent="0.25">
      <c r="A13" s="22" t="s">
        <v>20</v>
      </c>
      <c r="B13" s="22" t="s">
        <v>9</v>
      </c>
      <c r="C13" s="23">
        <v>63</v>
      </c>
      <c r="D13" s="12" t="s">
        <v>5</v>
      </c>
      <c r="E13" s="22" t="s">
        <v>85</v>
      </c>
      <c r="F13" s="12" t="s">
        <v>5</v>
      </c>
      <c r="G13" s="12" t="s">
        <v>5</v>
      </c>
      <c r="H13" s="12" t="s">
        <v>5</v>
      </c>
      <c r="I13" s="12" t="s">
        <v>5</v>
      </c>
      <c r="J13" s="12" t="s">
        <v>5</v>
      </c>
      <c r="K13" s="22" t="s">
        <v>86</v>
      </c>
      <c r="L13" s="23">
        <v>50</v>
      </c>
      <c r="M13" s="12" t="s">
        <v>5</v>
      </c>
      <c r="N13" s="22">
        <v>7</v>
      </c>
      <c r="O13" s="24">
        <v>26.834</v>
      </c>
      <c r="P13" s="25">
        <f t="shared" si="1"/>
        <v>134170000000</v>
      </c>
    </row>
    <row r="14" spans="1:16" x14ac:dyDescent="0.25">
      <c r="A14" s="22" t="s">
        <v>21</v>
      </c>
      <c r="B14" s="22" t="s">
        <v>9</v>
      </c>
      <c r="C14" s="23">
        <v>70</v>
      </c>
      <c r="D14" s="12" t="s">
        <v>5</v>
      </c>
      <c r="E14" s="22" t="s">
        <v>85</v>
      </c>
      <c r="F14" s="12" t="s">
        <v>5</v>
      </c>
      <c r="G14" s="12" t="s">
        <v>5</v>
      </c>
      <c r="H14" s="12" t="s">
        <v>5</v>
      </c>
      <c r="I14" s="12" t="s">
        <v>5</v>
      </c>
      <c r="J14" s="12" t="s">
        <v>5</v>
      </c>
      <c r="K14" s="22" t="s">
        <v>88</v>
      </c>
      <c r="L14" s="23">
        <v>17.600000000000001</v>
      </c>
      <c r="M14" s="12" t="s">
        <v>5</v>
      </c>
      <c r="N14" s="22">
        <v>7</v>
      </c>
      <c r="O14" s="24">
        <v>13.047000000000001</v>
      </c>
      <c r="P14" s="25">
        <f t="shared" si="1"/>
        <v>65235000000</v>
      </c>
    </row>
    <row r="15" spans="1:16" x14ac:dyDescent="0.25">
      <c r="A15" s="22" t="s">
        <v>22</v>
      </c>
      <c r="B15" s="22" t="s">
        <v>9</v>
      </c>
      <c r="C15" s="23">
        <v>54</v>
      </c>
      <c r="D15" s="12" t="s">
        <v>5</v>
      </c>
      <c r="E15" s="22" t="s">
        <v>85</v>
      </c>
      <c r="F15" s="12" t="s">
        <v>5</v>
      </c>
      <c r="G15" s="12" t="s">
        <v>5</v>
      </c>
      <c r="H15" s="12" t="s">
        <v>5</v>
      </c>
      <c r="I15" s="12" t="s">
        <v>5</v>
      </c>
      <c r="J15" s="12" t="s">
        <v>5</v>
      </c>
      <c r="K15" s="22" t="s">
        <v>86</v>
      </c>
      <c r="L15" s="23">
        <v>16</v>
      </c>
      <c r="M15" s="12" t="s">
        <v>5</v>
      </c>
      <c r="N15" s="22">
        <v>6</v>
      </c>
      <c r="O15" s="24">
        <v>3.266</v>
      </c>
      <c r="P15" s="25">
        <f t="shared" si="1"/>
        <v>16330000000</v>
      </c>
    </row>
    <row r="16" spans="1:16" x14ac:dyDescent="0.25">
      <c r="A16" s="22" t="s">
        <v>23</v>
      </c>
      <c r="B16" s="22" t="s">
        <v>4</v>
      </c>
      <c r="C16" s="23">
        <v>62</v>
      </c>
      <c r="D16" s="12" t="s">
        <v>5</v>
      </c>
      <c r="E16" s="22" t="s">
        <v>18</v>
      </c>
      <c r="F16" s="12" t="s">
        <v>5</v>
      </c>
      <c r="G16" s="12" t="s">
        <v>5</v>
      </c>
      <c r="H16" s="12" t="s">
        <v>5</v>
      </c>
      <c r="I16" s="12" t="s">
        <v>5</v>
      </c>
      <c r="J16" s="12" t="s">
        <v>5</v>
      </c>
      <c r="K16" s="22" t="s">
        <v>87</v>
      </c>
      <c r="L16" s="23">
        <v>14.87</v>
      </c>
      <c r="M16" s="12" t="s">
        <v>5</v>
      </c>
      <c r="N16" s="22">
        <v>6</v>
      </c>
      <c r="O16" s="24">
        <v>29.305</v>
      </c>
      <c r="P16" s="25">
        <f t="shared" si="1"/>
        <v>146525000000</v>
      </c>
    </row>
    <row r="17" spans="1:16" x14ac:dyDescent="0.25">
      <c r="A17" s="22" t="s">
        <v>24</v>
      </c>
      <c r="B17" s="22" t="s">
        <v>9</v>
      </c>
      <c r="C17" s="23">
        <v>47</v>
      </c>
      <c r="D17" s="12" t="s">
        <v>5</v>
      </c>
      <c r="E17" s="22" t="s">
        <v>85</v>
      </c>
      <c r="F17" s="12" t="s">
        <v>5</v>
      </c>
      <c r="G17" s="12" t="s">
        <v>5</v>
      </c>
      <c r="H17" s="12" t="s">
        <v>5</v>
      </c>
      <c r="I17" s="12" t="s">
        <v>5</v>
      </c>
      <c r="J17" s="12" t="s">
        <v>5</v>
      </c>
      <c r="K17" s="22" t="s">
        <v>87</v>
      </c>
      <c r="L17" s="23">
        <v>23.97</v>
      </c>
      <c r="M17" s="12" t="s">
        <v>5</v>
      </c>
      <c r="N17" s="22">
        <v>6</v>
      </c>
      <c r="O17" s="24">
        <v>7.9059999999999997</v>
      </c>
      <c r="P17" s="25">
        <f t="shared" si="1"/>
        <v>39530000000</v>
      </c>
    </row>
    <row r="18" spans="1:16" x14ac:dyDescent="0.25">
      <c r="A18" s="22" t="s">
        <v>25</v>
      </c>
      <c r="B18" s="22" t="s">
        <v>9</v>
      </c>
      <c r="C18" s="23">
        <v>92</v>
      </c>
      <c r="D18" s="12" t="s">
        <v>5</v>
      </c>
      <c r="E18" s="22" t="s">
        <v>85</v>
      </c>
      <c r="F18" s="12" t="s">
        <v>5</v>
      </c>
      <c r="G18" s="12" t="s">
        <v>5</v>
      </c>
      <c r="H18" s="12" t="s">
        <v>5</v>
      </c>
      <c r="I18" s="12" t="s">
        <v>5</v>
      </c>
      <c r="J18" s="12" t="s">
        <v>5</v>
      </c>
      <c r="K18" s="22" t="s">
        <v>87</v>
      </c>
      <c r="L18" s="23">
        <v>10.84</v>
      </c>
      <c r="M18" s="12" t="s">
        <v>5</v>
      </c>
      <c r="N18" s="22">
        <v>5</v>
      </c>
      <c r="O18" s="24">
        <v>6.601</v>
      </c>
      <c r="P18" s="25">
        <f t="shared" si="1"/>
        <v>33005000000</v>
      </c>
    </row>
    <row r="19" spans="1:16" x14ac:dyDescent="0.25">
      <c r="A19" s="22" t="s">
        <v>26</v>
      </c>
      <c r="B19" s="22" t="s">
        <v>9</v>
      </c>
      <c r="C19" s="23">
        <v>48</v>
      </c>
      <c r="D19" s="12" t="s">
        <v>5</v>
      </c>
      <c r="E19" s="22" t="s">
        <v>85</v>
      </c>
      <c r="F19" s="12" t="s">
        <v>5</v>
      </c>
      <c r="G19" s="12" t="s">
        <v>5</v>
      </c>
      <c r="H19" s="12" t="s">
        <v>5</v>
      </c>
      <c r="I19" s="12" t="s">
        <v>5</v>
      </c>
      <c r="J19" s="12" t="s">
        <v>5</v>
      </c>
      <c r="K19" s="22" t="s">
        <v>86</v>
      </c>
      <c r="L19" s="23">
        <v>3.3879999999999999</v>
      </c>
      <c r="M19" s="12" t="s">
        <v>5</v>
      </c>
      <c r="N19" s="22">
        <v>7</v>
      </c>
      <c r="O19" s="24">
        <v>25.969000000000001</v>
      </c>
      <c r="P19" s="25">
        <f t="shared" si="1"/>
        <v>129845000000</v>
      </c>
    </row>
    <row r="20" spans="1:16" x14ac:dyDescent="0.25">
      <c r="A20" s="22" t="s">
        <v>27</v>
      </c>
      <c r="B20" s="22" t="s">
        <v>4</v>
      </c>
      <c r="C20" s="23">
        <v>56</v>
      </c>
      <c r="D20" s="12" t="s">
        <v>5</v>
      </c>
      <c r="E20" s="22" t="s">
        <v>85</v>
      </c>
      <c r="F20" s="12" t="s">
        <v>5</v>
      </c>
      <c r="G20" s="12" t="s">
        <v>5</v>
      </c>
      <c r="H20" s="12" t="s">
        <v>5</v>
      </c>
      <c r="I20" s="12" t="s">
        <v>5</v>
      </c>
      <c r="J20" s="12" t="s">
        <v>5</v>
      </c>
      <c r="K20" s="22" t="s">
        <v>86</v>
      </c>
      <c r="L20" s="23">
        <v>2.0169999999999999</v>
      </c>
      <c r="M20" s="12" t="s">
        <v>5</v>
      </c>
      <c r="N20" s="22">
        <v>6</v>
      </c>
      <c r="O20" s="24">
        <v>4.7409999999999997</v>
      </c>
      <c r="P20" s="25">
        <f t="shared" si="1"/>
        <v>23705000000</v>
      </c>
    </row>
    <row r="21" spans="1:16" x14ac:dyDescent="0.25">
      <c r="A21" s="22" t="s">
        <v>28</v>
      </c>
      <c r="B21" s="22" t="s">
        <v>9</v>
      </c>
      <c r="C21" s="23">
        <v>78</v>
      </c>
      <c r="D21" s="12" t="s">
        <v>5</v>
      </c>
      <c r="E21" s="22" t="s">
        <v>85</v>
      </c>
      <c r="F21" s="12" t="s">
        <v>5</v>
      </c>
      <c r="G21" s="12" t="s">
        <v>5</v>
      </c>
      <c r="H21" s="12" t="s">
        <v>5</v>
      </c>
      <c r="I21" s="12" t="s">
        <v>5</v>
      </c>
      <c r="J21" s="12" t="s">
        <v>5</v>
      </c>
      <c r="K21" s="22" t="s">
        <v>86</v>
      </c>
      <c r="L21" s="23">
        <v>7.6970000000000001</v>
      </c>
      <c r="M21" s="12" t="s">
        <v>5</v>
      </c>
      <c r="N21" s="22">
        <v>6</v>
      </c>
      <c r="O21" s="24">
        <v>3.8039999999999998</v>
      </c>
      <c r="P21" s="25">
        <f t="shared" si="1"/>
        <v>19020000000</v>
      </c>
    </row>
    <row r="22" spans="1:16" x14ac:dyDescent="0.25">
      <c r="A22" s="22" t="s">
        <v>29</v>
      </c>
      <c r="B22" s="22" t="s">
        <v>9</v>
      </c>
      <c r="C22" s="23">
        <v>55</v>
      </c>
      <c r="D22" s="12" t="s">
        <v>5</v>
      </c>
      <c r="E22" s="22" t="s">
        <v>85</v>
      </c>
      <c r="F22" s="12" t="s">
        <v>5</v>
      </c>
      <c r="G22" s="12" t="s">
        <v>5</v>
      </c>
      <c r="H22" s="12" t="s">
        <v>5</v>
      </c>
      <c r="I22" s="12" t="s">
        <v>5</v>
      </c>
      <c r="J22" s="12" t="s">
        <v>5</v>
      </c>
      <c r="K22" s="22" t="s">
        <v>87</v>
      </c>
      <c r="L22" s="23">
        <v>22.01</v>
      </c>
      <c r="M22" s="12" t="s">
        <v>5</v>
      </c>
      <c r="N22" s="22">
        <v>6</v>
      </c>
      <c r="O22" s="24">
        <v>32.295000000000002</v>
      </c>
      <c r="P22" s="25">
        <f t="shared" si="1"/>
        <v>161475000000</v>
      </c>
    </row>
    <row r="23" spans="1:16" x14ac:dyDescent="0.25">
      <c r="A23" s="22" t="s">
        <v>30</v>
      </c>
      <c r="B23" s="22" t="s">
        <v>4</v>
      </c>
      <c r="C23" s="23">
        <v>54</v>
      </c>
      <c r="D23" s="12" t="s">
        <v>5</v>
      </c>
      <c r="E23" s="22" t="s">
        <v>85</v>
      </c>
      <c r="F23" s="12" t="s">
        <v>5</v>
      </c>
      <c r="G23" s="12" t="s">
        <v>5</v>
      </c>
      <c r="H23" s="12" t="s">
        <v>5</v>
      </c>
      <c r="I23" s="12" t="s">
        <v>5</v>
      </c>
      <c r="J23" s="12" t="s">
        <v>5</v>
      </c>
      <c r="K23" s="22" t="s">
        <v>86</v>
      </c>
      <c r="L23" s="23">
        <v>2.988</v>
      </c>
      <c r="M23" s="12" t="s">
        <v>5</v>
      </c>
      <c r="N23" s="22">
        <v>6</v>
      </c>
      <c r="O23" s="24">
        <v>10.974</v>
      </c>
      <c r="P23" s="25">
        <f t="shared" si="1"/>
        <v>54870000000</v>
      </c>
    </row>
    <row r="24" spans="1:16" x14ac:dyDescent="0.25">
      <c r="A24" s="22" t="s">
        <v>31</v>
      </c>
      <c r="B24" s="22" t="s">
        <v>4</v>
      </c>
      <c r="C24" s="23">
        <v>61</v>
      </c>
      <c r="D24" s="12" t="s">
        <v>5</v>
      </c>
      <c r="E24" s="22" t="s">
        <v>85</v>
      </c>
      <c r="F24" s="12" t="s">
        <v>5</v>
      </c>
      <c r="G24" s="12" t="s">
        <v>5</v>
      </c>
      <c r="H24" s="12" t="s">
        <v>5</v>
      </c>
      <c r="I24" s="12" t="s">
        <v>5</v>
      </c>
      <c r="J24" s="12" t="s">
        <v>5</v>
      </c>
      <c r="K24" s="22" t="s">
        <v>87</v>
      </c>
      <c r="L24" s="23">
        <v>15.57</v>
      </c>
      <c r="M24" s="12" t="s">
        <v>5</v>
      </c>
      <c r="N24" s="22">
        <v>7</v>
      </c>
      <c r="O24" s="24">
        <v>6.5469999999999997</v>
      </c>
      <c r="P24" s="25">
        <f t="shared" si="1"/>
        <v>32735000000</v>
      </c>
    </row>
    <row r="25" spans="1:16" x14ac:dyDescent="0.25">
      <c r="A25" s="22" t="s">
        <v>32</v>
      </c>
      <c r="B25" s="22" t="s">
        <v>4</v>
      </c>
      <c r="C25" s="23">
        <v>47</v>
      </c>
      <c r="D25" s="12" t="s">
        <v>5</v>
      </c>
      <c r="E25" s="22" t="s">
        <v>85</v>
      </c>
      <c r="F25" s="12" t="s">
        <v>5</v>
      </c>
      <c r="G25" s="12" t="s">
        <v>5</v>
      </c>
      <c r="H25" s="12" t="s">
        <v>5</v>
      </c>
      <c r="I25" s="12" t="s">
        <v>5</v>
      </c>
      <c r="J25" s="12" t="s">
        <v>5</v>
      </c>
      <c r="K25" s="22" t="s">
        <v>87</v>
      </c>
      <c r="L25" s="23">
        <v>14.02</v>
      </c>
      <c r="M25" s="12" t="s">
        <v>5</v>
      </c>
      <c r="N25" s="22">
        <v>6</v>
      </c>
      <c r="O25" s="24">
        <v>11.125999999999999</v>
      </c>
      <c r="P25" s="25">
        <f t="shared" si="1"/>
        <v>55630000000</v>
      </c>
    </row>
    <row r="26" spans="1:16" x14ac:dyDescent="0.25">
      <c r="A26" s="26" t="s">
        <v>33</v>
      </c>
      <c r="B26" s="26" t="s">
        <v>9</v>
      </c>
      <c r="C26" s="27">
        <v>33</v>
      </c>
      <c r="D26" s="12" t="s">
        <v>5</v>
      </c>
      <c r="E26" s="26" t="s">
        <v>85</v>
      </c>
      <c r="F26" s="17" t="s">
        <v>5</v>
      </c>
      <c r="G26" s="17" t="s">
        <v>5</v>
      </c>
      <c r="H26" s="17" t="s">
        <v>5</v>
      </c>
      <c r="I26" s="17" t="s">
        <v>5</v>
      </c>
      <c r="J26" s="17" t="s">
        <v>5</v>
      </c>
      <c r="K26" s="26" t="s">
        <v>86</v>
      </c>
      <c r="L26" s="27">
        <v>3.2040000000000002</v>
      </c>
      <c r="M26" s="17" t="s">
        <v>5</v>
      </c>
      <c r="N26" s="26">
        <v>7</v>
      </c>
      <c r="O26" s="28">
        <v>5.8769999999999998</v>
      </c>
      <c r="P26" s="29">
        <f t="shared" si="1"/>
        <v>29385000000</v>
      </c>
    </row>
    <row r="27" spans="1:16" ht="16.5" customHeight="1" x14ac:dyDescent="0.25">
      <c r="A27" s="30" t="s">
        <v>34</v>
      </c>
      <c r="B27" s="30" t="s">
        <v>4</v>
      </c>
      <c r="C27" s="31">
        <v>55</v>
      </c>
      <c r="D27" s="30" t="s">
        <v>89</v>
      </c>
      <c r="E27" s="30" t="s">
        <v>6</v>
      </c>
      <c r="F27" s="32" t="s">
        <v>6</v>
      </c>
      <c r="G27" s="32" t="s">
        <v>35</v>
      </c>
      <c r="H27" s="32" t="s">
        <v>90</v>
      </c>
      <c r="I27" s="30" t="s">
        <v>35</v>
      </c>
      <c r="J27" s="30" t="s">
        <v>36</v>
      </c>
      <c r="K27" s="30" t="s">
        <v>91</v>
      </c>
      <c r="L27" s="33">
        <v>2.165</v>
      </c>
      <c r="M27" s="34" t="s">
        <v>92</v>
      </c>
      <c r="N27" s="33">
        <v>7</v>
      </c>
      <c r="O27" s="35">
        <v>13.212999999999999</v>
      </c>
      <c r="P27" s="36">
        <f>(O27 / 2) * 10000000000</f>
        <v>66064999999.999992</v>
      </c>
    </row>
    <row r="28" spans="1:16" ht="17.25" customHeight="1" x14ac:dyDescent="0.25">
      <c r="A28" s="37" t="s">
        <v>37</v>
      </c>
      <c r="B28" s="37" t="s">
        <v>9</v>
      </c>
      <c r="C28" s="38">
        <v>55</v>
      </c>
      <c r="D28" s="37" t="s">
        <v>38</v>
      </c>
      <c r="E28" s="37" t="s">
        <v>6</v>
      </c>
      <c r="F28" s="39" t="s">
        <v>93</v>
      </c>
      <c r="G28" s="39" t="s">
        <v>35</v>
      </c>
      <c r="H28" s="39" t="s">
        <v>94</v>
      </c>
      <c r="I28" s="37" t="s">
        <v>35</v>
      </c>
      <c r="J28" s="37" t="s">
        <v>39</v>
      </c>
      <c r="K28" s="37" t="s">
        <v>91</v>
      </c>
      <c r="L28" s="23">
        <v>3.1150000000000002</v>
      </c>
      <c r="M28" s="37" t="s">
        <v>95</v>
      </c>
      <c r="N28" s="23">
        <v>7</v>
      </c>
      <c r="O28" s="40">
        <v>26.436</v>
      </c>
      <c r="P28" s="41">
        <f t="shared" ref="P28:P46" si="2">(O28 / 2) * 10000000000</f>
        <v>132180000000</v>
      </c>
    </row>
    <row r="29" spans="1:16" ht="18" customHeight="1" x14ac:dyDescent="0.25">
      <c r="A29" s="37" t="s">
        <v>40</v>
      </c>
      <c r="B29" s="37" t="s">
        <v>9</v>
      </c>
      <c r="C29" s="38">
        <v>69</v>
      </c>
      <c r="D29" s="37" t="s">
        <v>96</v>
      </c>
      <c r="E29" s="37" t="s">
        <v>35</v>
      </c>
      <c r="F29" s="39" t="s">
        <v>93</v>
      </c>
      <c r="G29" s="39" t="s">
        <v>35</v>
      </c>
      <c r="H29" s="39" t="s">
        <v>97</v>
      </c>
      <c r="I29" s="37" t="s">
        <v>35</v>
      </c>
      <c r="J29" s="37" t="s">
        <v>41</v>
      </c>
      <c r="K29" s="37" t="s">
        <v>91</v>
      </c>
      <c r="L29" s="23">
        <v>9.3930000000000007</v>
      </c>
      <c r="M29" s="37" t="s">
        <v>95</v>
      </c>
      <c r="N29" s="23">
        <v>7</v>
      </c>
      <c r="O29" s="40">
        <v>3.7709999999999999</v>
      </c>
      <c r="P29" s="41">
        <f t="shared" si="2"/>
        <v>18855000000</v>
      </c>
    </row>
    <row r="30" spans="1:16" ht="19.5" customHeight="1" x14ac:dyDescent="0.25">
      <c r="A30" s="37" t="s">
        <v>42</v>
      </c>
      <c r="B30" s="37" t="s">
        <v>4</v>
      </c>
      <c r="C30" s="38">
        <v>65</v>
      </c>
      <c r="D30" s="37" t="s">
        <v>38</v>
      </c>
      <c r="E30" s="37" t="s">
        <v>35</v>
      </c>
      <c r="F30" s="39" t="s">
        <v>98</v>
      </c>
      <c r="G30" s="39" t="s">
        <v>35</v>
      </c>
      <c r="H30" s="39" t="s">
        <v>99</v>
      </c>
      <c r="I30" s="37" t="s">
        <v>35</v>
      </c>
      <c r="J30" s="37" t="s">
        <v>43</v>
      </c>
      <c r="K30" s="37" t="s">
        <v>91</v>
      </c>
      <c r="L30" s="38">
        <v>31.59</v>
      </c>
      <c r="M30" s="37" t="s">
        <v>95</v>
      </c>
      <c r="N30" s="23">
        <v>6</v>
      </c>
      <c r="O30" s="40">
        <v>3.375</v>
      </c>
      <c r="P30" s="41">
        <f t="shared" si="2"/>
        <v>16875000000</v>
      </c>
    </row>
    <row r="31" spans="1:16" ht="17.25" customHeight="1" x14ac:dyDescent="0.25">
      <c r="A31" s="42" t="s">
        <v>44</v>
      </c>
      <c r="B31" s="42" t="s">
        <v>4</v>
      </c>
      <c r="C31" s="43">
        <v>60</v>
      </c>
      <c r="D31" s="42" t="s">
        <v>38</v>
      </c>
      <c r="E31" s="42" t="s">
        <v>6</v>
      </c>
      <c r="F31" s="44" t="s">
        <v>93</v>
      </c>
      <c r="G31" s="44" t="s">
        <v>100</v>
      </c>
      <c r="H31" s="44" t="s">
        <v>99</v>
      </c>
      <c r="I31" s="42" t="s">
        <v>100</v>
      </c>
      <c r="J31" s="42" t="s">
        <v>45</v>
      </c>
      <c r="K31" s="42" t="s">
        <v>91</v>
      </c>
      <c r="L31" s="43">
        <v>9.2010000000000005</v>
      </c>
      <c r="M31" s="42" t="s">
        <v>95</v>
      </c>
      <c r="N31" s="27">
        <v>6</v>
      </c>
      <c r="O31" s="45">
        <v>17.658999999999999</v>
      </c>
      <c r="P31" s="46">
        <f t="shared" si="2"/>
        <v>88295000000</v>
      </c>
    </row>
    <row r="32" spans="1:16" ht="18" customHeight="1" x14ac:dyDescent="0.25">
      <c r="A32" s="30" t="s">
        <v>46</v>
      </c>
      <c r="B32" s="30" t="s">
        <v>4</v>
      </c>
      <c r="C32" s="31">
        <v>61</v>
      </c>
      <c r="D32" s="30" t="s">
        <v>89</v>
      </c>
      <c r="E32" s="30" t="s">
        <v>6</v>
      </c>
      <c r="F32" s="32" t="s">
        <v>98</v>
      </c>
      <c r="G32" s="32" t="s">
        <v>35</v>
      </c>
      <c r="H32" s="32" t="s">
        <v>101</v>
      </c>
      <c r="I32" s="30" t="s">
        <v>35</v>
      </c>
      <c r="J32" s="30" t="s">
        <v>47</v>
      </c>
      <c r="K32" s="30" t="s">
        <v>102</v>
      </c>
      <c r="L32" s="31">
        <v>7.85</v>
      </c>
      <c r="M32" s="30" t="s">
        <v>95</v>
      </c>
      <c r="N32" s="33">
        <v>6</v>
      </c>
      <c r="O32" s="35">
        <v>14.435</v>
      </c>
      <c r="P32" s="36">
        <f t="shared" si="2"/>
        <v>72175000000</v>
      </c>
    </row>
    <row r="33" spans="1:16" ht="18" customHeight="1" x14ac:dyDescent="0.25">
      <c r="A33" s="37" t="s">
        <v>48</v>
      </c>
      <c r="B33" s="37" t="s">
        <v>9</v>
      </c>
      <c r="C33" s="38">
        <v>90</v>
      </c>
      <c r="D33" s="37" t="s">
        <v>38</v>
      </c>
      <c r="E33" s="37" t="s">
        <v>6</v>
      </c>
      <c r="F33" s="39" t="s">
        <v>93</v>
      </c>
      <c r="G33" s="39" t="s">
        <v>35</v>
      </c>
      <c r="H33" s="39" t="s">
        <v>97</v>
      </c>
      <c r="I33" s="37" t="s">
        <v>35</v>
      </c>
      <c r="J33" s="37" t="s">
        <v>49</v>
      </c>
      <c r="K33" s="37" t="s">
        <v>102</v>
      </c>
      <c r="L33" s="23">
        <v>4.9989999999999997</v>
      </c>
      <c r="M33" s="37" t="s">
        <v>95</v>
      </c>
      <c r="N33" s="23">
        <v>6</v>
      </c>
      <c r="O33" s="40">
        <v>16.334</v>
      </c>
      <c r="P33" s="41">
        <f t="shared" si="2"/>
        <v>81670000000</v>
      </c>
    </row>
    <row r="34" spans="1:16" ht="19.5" customHeight="1" x14ac:dyDescent="0.25">
      <c r="A34" s="37" t="s">
        <v>50</v>
      </c>
      <c r="B34" s="37" t="s">
        <v>4</v>
      </c>
      <c r="C34" s="38">
        <v>76</v>
      </c>
      <c r="D34" s="37" t="s">
        <v>38</v>
      </c>
      <c r="E34" s="37" t="s">
        <v>6</v>
      </c>
      <c r="F34" s="39" t="s">
        <v>98</v>
      </c>
      <c r="G34" s="39" t="s">
        <v>100</v>
      </c>
      <c r="H34" s="39" t="s">
        <v>97</v>
      </c>
      <c r="I34" s="37" t="s">
        <v>35</v>
      </c>
      <c r="J34" s="37" t="s">
        <v>51</v>
      </c>
      <c r="K34" s="37" t="s">
        <v>102</v>
      </c>
      <c r="L34" s="23">
        <v>4.4080000000000004</v>
      </c>
      <c r="M34" s="37" t="s">
        <v>95</v>
      </c>
      <c r="N34" s="23">
        <v>7</v>
      </c>
      <c r="O34" s="40">
        <v>32.302</v>
      </c>
      <c r="P34" s="41">
        <f t="shared" si="2"/>
        <v>161510000000</v>
      </c>
    </row>
    <row r="35" spans="1:16" ht="17.25" customHeight="1" x14ac:dyDescent="0.25">
      <c r="A35" s="37" t="s">
        <v>52</v>
      </c>
      <c r="B35" s="37" t="s">
        <v>4</v>
      </c>
      <c r="C35" s="38">
        <v>69</v>
      </c>
      <c r="D35" s="37" t="s">
        <v>38</v>
      </c>
      <c r="E35" s="37" t="s">
        <v>100</v>
      </c>
      <c r="F35" s="39" t="s">
        <v>98</v>
      </c>
      <c r="G35" s="39" t="s">
        <v>100</v>
      </c>
      <c r="H35" s="39" t="s">
        <v>6</v>
      </c>
      <c r="I35" s="37" t="s">
        <v>35</v>
      </c>
      <c r="J35" s="37" t="s">
        <v>53</v>
      </c>
      <c r="K35" s="37" t="s">
        <v>102</v>
      </c>
      <c r="L35" s="23">
        <v>24.04</v>
      </c>
      <c r="M35" s="37" t="s">
        <v>95</v>
      </c>
      <c r="N35" s="23">
        <v>7</v>
      </c>
      <c r="O35" s="40">
        <v>40.014000000000003</v>
      </c>
      <c r="P35" s="41">
        <f t="shared" si="2"/>
        <v>200070000000</v>
      </c>
    </row>
    <row r="36" spans="1:16" ht="17.25" customHeight="1" x14ac:dyDescent="0.25">
      <c r="A36" s="42" t="s">
        <v>54</v>
      </c>
      <c r="B36" s="42" t="s">
        <v>4</v>
      </c>
      <c r="C36" s="43">
        <v>67</v>
      </c>
      <c r="D36" s="42" t="s">
        <v>96</v>
      </c>
      <c r="E36" s="42" t="s">
        <v>6</v>
      </c>
      <c r="F36" s="44" t="s">
        <v>93</v>
      </c>
      <c r="G36" s="44" t="s">
        <v>35</v>
      </c>
      <c r="H36" s="44" t="s">
        <v>6</v>
      </c>
      <c r="I36" s="42" t="s">
        <v>35</v>
      </c>
      <c r="J36" s="42" t="s">
        <v>55</v>
      </c>
      <c r="K36" s="42" t="s">
        <v>102</v>
      </c>
      <c r="L36" s="43">
        <v>20.37</v>
      </c>
      <c r="M36" s="42" t="s">
        <v>95</v>
      </c>
      <c r="N36" s="27">
        <v>7</v>
      </c>
      <c r="O36" s="45">
        <v>4.5410000000000004</v>
      </c>
      <c r="P36" s="46">
        <f t="shared" si="2"/>
        <v>22705000000</v>
      </c>
    </row>
    <row r="37" spans="1:16" ht="18" customHeight="1" x14ac:dyDescent="0.25">
      <c r="A37" s="30" t="s">
        <v>56</v>
      </c>
      <c r="B37" s="30" t="s">
        <v>4</v>
      </c>
      <c r="C37" s="31">
        <v>58</v>
      </c>
      <c r="D37" s="30" t="s">
        <v>38</v>
      </c>
      <c r="E37" s="30" t="s">
        <v>6</v>
      </c>
      <c r="F37" s="32" t="s">
        <v>93</v>
      </c>
      <c r="G37" s="32" t="s">
        <v>100</v>
      </c>
      <c r="H37" s="32" t="s">
        <v>90</v>
      </c>
      <c r="I37" s="30" t="s">
        <v>35</v>
      </c>
      <c r="J37" s="30" t="s">
        <v>57</v>
      </c>
      <c r="K37" s="30" t="s">
        <v>103</v>
      </c>
      <c r="L37" s="33">
        <v>6.3639999999999999</v>
      </c>
      <c r="M37" s="30" t="s">
        <v>95</v>
      </c>
      <c r="N37" s="33">
        <v>6</v>
      </c>
      <c r="O37" s="35">
        <v>23.53</v>
      </c>
      <c r="P37" s="36">
        <f t="shared" si="2"/>
        <v>117650000000</v>
      </c>
    </row>
    <row r="38" spans="1:16" ht="18" customHeight="1" x14ac:dyDescent="0.25">
      <c r="A38" s="37" t="s">
        <v>58</v>
      </c>
      <c r="B38" s="37" t="s">
        <v>4</v>
      </c>
      <c r="C38" s="38">
        <v>60</v>
      </c>
      <c r="D38" s="37" t="s">
        <v>89</v>
      </c>
      <c r="E38" s="37" t="s">
        <v>6</v>
      </c>
      <c r="F38" s="39" t="s">
        <v>98</v>
      </c>
      <c r="G38" s="39" t="s">
        <v>100</v>
      </c>
      <c r="H38" s="39" t="s">
        <v>104</v>
      </c>
      <c r="I38" s="37" t="s">
        <v>35</v>
      </c>
      <c r="J38" s="37" t="s">
        <v>53</v>
      </c>
      <c r="K38" s="37" t="s">
        <v>103</v>
      </c>
      <c r="L38" s="23">
        <v>4.76</v>
      </c>
      <c r="M38" s="37" t="s">
        <v>92</v>
      </c>
      <c r="N38" s="23">
        <v>7</v>
      </c>
      <c r="O38" s="40">
        <v>12.204000000000001</v>
      </c>
      <c r="P38" s="41">
        <f t="shared" si="2"/>
        <v>61020000000</v>
      </c>
    </row>
    <row r="39" spans="1:16" ht="21" customHeight="1" x14ac:dyDescent="0.25">
      <c r="A39" s="37" t="s">
        <v>59</v>
      </c>
      <c r="B39" s="37" t="s">
        <v>4</v>
      </c>
      <c r="C39" s="38">
        <v>53</v>
      </c>
      <c r="D39" s="37" t="s">
        <v>38</v>
      </c>
      <c r="E39" s="37" t="s">
        <v>6</v>
      </c>
      <c r="F39" s="39" t="s">
        <v>98</v>
      </c>
      <c r="G39" s="39" t="s">
        <v>6</v>
      </c>
      <c r="H39" s="39" t="s">
        <v>99</v>
      </c>
      <c r="I39" s="37" t="s">
        <v>35</v>
      </c>
      <c r="J39" s="37" t="s">
        <v>18</v>
      </c>
      <c r="K39" s="37" t="s">
        <v>103</v>
      </c>
      <c r="L39" s="23">
        <v>5.9589999999999996</v>
      </c>
      <c r="M39" s="37" t="s">
        <v>92</v>
      </c>
      <c r="N39" s="23">
        <v>5</v>
      </c>
      <c r="O39" s="40">
        <v>26.074999999999999</v>
      </c>
      <c r="P39" s="41">
        <f t="shared" si="2"/>
        <v>130375000000</v>
      </c>
    </row>
    <row r="40" spans="1:16" ht="18.75" customHeight="1" x14ac:dyDescent="0.25">
      <c r="A40" s="37" t="s">
        <v>60</v>
      </c>
      <c r="B40" s="37" t="s">
        <v>4</v>
      </c>
      <c r="C40" s="38">
        <v>65</v>
      </c>
      <c r="D40" s="37" t="s">
        <v>38</v>
      </c>
      <c r="E40" s="37" t="s">
        <v>100</v>
      </c>
      <c r="F40" s="39" t="s">
        <v>105</v>
      </c>
      <c r="G40" s="39" t="s">
        <v>100</v>
      </c>
      <c r="H40" s="39" t="s">
        <v>101</v>
      </c>
      <c r="I40" s="37" t="s">
        <v>35</v>
      </c>
      <c r="J40" s="37" t="s">
        <v>61</v>
      </c>
      <c r="K40" s="37" t="s">
        <v>103</v>
      </c>
      <c r="L40" s="23">
        <v>5.8860000000000001</v>
      </c>
      <c r="M40" s="37" t="s">
        <v>92</v>
      </c>
      <c r="N40" s="23">
        <v>6</v>
      </c>
      <c r="O40" s="40">
        <v>5.0789999999999997</v>
      </c>
      <c r="P40" s="41">
        <f t="shared" si="2"/>
        <v>25395000000</v>
      </c>
    </row>
    <row r="41" spans="1:16" ht="17.25" customHeight="1" x14ac:dyDescent="0.25">
      <c r="A41" s="42" t="s">
        <v>62</v>
      </c>
      <c r="B41" s="42" t="s">
        <v>4</v>
      </c>
      <c r="C41" s="43">
        <v>78</v>
      </c>
      <c r="D41" s="42" t="s">
        <v>38</v>
      </c>
      <c r="E41" s="42" t="s">
        <v>35</v>
      </c>
      <c r="F41" s="44" t="s">
        <v>93</v>
      </c>
      <c r="G41" s="44" t="s">
        <v>100</v>
      </c>
      <c r="H41" s="44" t="s">
        <v>99</v>
      </c>
      <c r="I41" s="42" t="s">
        <v>35</v>
      </c>
      <c r="J41" s="42" t="s">
        <v>63</v>
      </c>
      <c r="K41" s="42" t="s">
        <v>103</v>
      </c>
      <c r="L41" s="27">
        <v>1.65</v>
      </c>
      <c r="M41" s="42" t="s">
        <v>92</v>
      </c>
      <c r="N41" s="27">
        <v>6</v>
      </c>
      <c r="O41" s="45">
        <v>22.533000000000001</v>
      </c>
      <c r="P41" s="46">
        <f t="shared" si="2"/>
        <v>112665000000</v>
      </c>
    </row>
    <row r="42" spans="1:16" ht="18" customHeight="1" x14ac:dyDescent="0.25">
      <c r="A42" s="30" t="s">
        <v>64</v>
      </c>
      <c r="B42" s="30" t="s">
        <v>9</v>
      </c>
      <c r="C42" s="31">
        <v>44</v>
      </c>
      <c r="D42" s="30" t="s">
        <v>38</v>
      </c>
      <c r="E42" s="30" t="s">
        <v>6</v>
      </c>
      <c r="F42" s="32" t="s">
        <v>93</v>
      </c>
      <c r="G42" s="32" t="s">
        <v>6</v>
      </c>
      <c r="H42" s="32" t="s">
        <v>99</v>
      </c>
      <c r="I42" s="30" t="s">
        <v>100</v>
      </c>
      <c r="J42" s="30" t="s">
        <v>65</v>
      </c>
      <c r="K42" s="30" t="s">
        <v>106</v>
      </c>
      <c r="L42" s="33">
        <v>9.48</v>
      </c>
      <c r="M42" s="30" t="s">
        <v>95</v>
      </c>
      <c r="N42" s="33">
        <v>7</v>
      </c>
      <c r="O42" s="35">
        <v>33.637</v>
      </c>
      <c r="P42" s="36">
        <f t="shared" si="2"/>
        <v>168185000000</v>
      </c>
    </row>
    <row r="43" spans="1:16" ht="18" customHeight="1" x14ac:dyDescent="0.25">
      <c r="A43" s="37" t="s">
        <v>66</v>
      </c>
      <c r="B43" s="37" t="s">
        <v>4</v>
      </c>
      <c r="C43" s="38">
        <v>36</v>
      </c>
      <c r="D43" s="37" t="s">
        <v>89</v>
      </c>
      <c r="E43" s="37" t="s">
        <v>6</v>
      </c>
      <c r="F43" s="39" t="s">
        <v>6</v>
      </c>
      <c r="G43" s="39" t="s">
        <v>100</v>
      </c>
      <c r="H43" s="39" t="s">
        <v>99</v>
      </c>
      <c r="I43" s="37" t="s">
        <v>100</v>
      </c>
      <c r="J43" s="37" t="s">
        <v>67</v>
      </c>
      <c r="K43" s="37" t="s">
        <v>106</v>
      </c>
      <c r="L43" s="38">
        <v>25.69</v>
      </c>
      <c r="M43" s="37" t="s">
        <v>95</v>
      </c>
      <c r="N43" s="23">
        <v>7</v>
      </c>
      <c r="O43" s="40">
        <v>42.47</v>
      </c>
      <c r="P43" s="41">
        <f t="shared" si="2"/>
        <v>212350000000</v>
      </c>
    </row>
    <row r="44" spans="1:16" ht="17.25" customHeight="1" x14ac:dyDescent="0.25">
      <c r="A44" s="37" t="s">
        <v>68</v>
      </c>
      <c r="B44" s="37" t="s">
        <v>4</v>
      </c>
      <c r="C44" s="38">
        <v>49</v>
      </c>
      <c r="D44" s="37" t="s">
        <v>38</v>
      </c>
      <c r="E44" s="37" t="s">
        <v>6</v>
      </c>
      <c r="F44" s="39" t="s">
        <v>98</v>
      </c>
      <c r="G44" s="39" t="s">
        <v>100</v>
      </c>
      <c r="H44" s="39" t="s">
        <v>104</v>
      </c>
      <c r="I44" s="37" t="s">
        <v>100</v>
      </c>
      <c r="J44" s="37" t="s">
        <v>69</v>
      </c>
      <c r="K44" s="37" t="s">
        <v>106</v>
      </c>
      <c r="L44" s="23">
        <v>2.7869999999999999</v>
      </c>
      <c r="M44" s="37" t="s">
        <v>92</v>
      </c>
      <c r="N44" s="23">
        <v>6</v>
      </c>
      <c r="O44" s="40">
        <v>17.146999999999998</v>
      </c>
      <c r="P44" s="41">
        <f t="shared" si="2"/>
        <v>85734999999.999985</v>
      </c>
    </row>
    <row r="45" spans="1:16" ht="16.5" customHeight="1" x14ac:dyDescent="0.25">
      <c r="A45" s="37" t="s">
        <v>70</v>
      </c>
      <c r="B45" s="37" t="s">
        <v>4</v>
      </c>
      <c r="C45" s="38">
        <v>65</v>
      </c>
      <c r="D45" s="37" t="s">
        <v>38</v>
      </c>
      <c r="E45" s="37" t="s">
        <v>35</v>
      </c>
      <c r="F45" s="39" t="s">
        <v>93</v>
      </c>
      <c r="G45" s="39" t="s">
        <v>100</v>
      </c>
      <c r="H45" s="39" t="s">
        <v>90</v>
      </c>
      <c r="I45" s="37" t="s">
        <v>100</v>
      </c>
      <c r="J45" s="37" t="s">
        <v>65</v>
      </c>
      <c r="K45" s="37" t="s">
        <v>106</v>
      </c>
      <c r="L45" s="23">
        <v>2.1709999999999998</v>
      </c>
      <c r="M45" s="47" t="s">
        <v>92</v>
      </c>
      <c r="N45" s="23">
        <v>6</v>
      </c>
      <c r="O45" s="40">
        <v>18.899000000000001</v>
      </c>
      <c r="P45" s="41">
        <f t="shared" si="2"/>
        <v>94495000000</v>
      </c>
    </row>
    <row r="46" spans="1:16" ht="15" customHeight="1" x14ac:dyDescent="0.25">
      <c r="A46" s="42" t="s">
        <v>71</v>
      </c>
      <c r="B46" s="42" t="s">
        <v>4</v>
      </c>
      <c r="C46" s="43">
        <v>63</v>
      </c>
      <c r="D46" s="42" t="s">
        <v>96</v>
      </c>
      <c r="E46" s="42" t="s">
        <v>6</v>
      </c>
      <c r="F46" s="44" t="s">
        <v>98</v>
      </c>
      <c r="G46" s="44" t="s">
        <v>6</v>
      </c>
      <c r="H46" s="44" t="s">
        <v>104</v>
      </c>
      <c r="I46" s="42" t="s">
        <v>100</v>
      </c>
      <c r="J46" s="42" t="s">
        <v>65</v>
      </c>
      <c r="K46" s="42" t="s">
        <v>106</v>
      </c>
      <c r="L46" s="27">
        <v>5.4180000000000001</v>
      </c>
      <c r="M46" s="42" t="s">
        <v>92</v>
      </c>
      <c r="N46" s="27">
        <v>7</v>
      </c>
      <c r="O46" s="45">
        <v>3.3279999999999998</v>
      </c>
      <c r="P46" s="46">
        <f t="shared" si="2"/>
        <v>16640000000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Sofia-Gamer</cp:lastModifiedBy>
  <dcterms:modified xsi:type="dcterms:W3CDTF">2026-10-19T22:15:44Z</dcterms:modified>
</cp:coreProperties>
</file>